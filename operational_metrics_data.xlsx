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dav Fireman\Documents\שנקר\שנה ד\פרויקט גמר\נספחים\נתונים כמותיים\"/>
    </mc:Choice>
  </mc:AlternateContent>
  <xr:revisionPtr revIDLastSave="0" documentId="13_ncr:1_{CEE8C3C3-58A1-44F1-A8E3-6DF10417134F}" xr6:coauthVersionLast="47" xr6:coauthVersionMax="47" xr10:uidLastSave="{00000000-0000-0000-0000-000000000000}"/>
  <bookViews>
    <workbookView xWindow="28680" yWindow="-120" windowWidth="25440" windowHeight="15270" xr2:uid="{065A814C-1A46-4812-8E82-CFEEAA7BE2F0}"/>
  </bookViews>
  <sheets>
    <sheet name="שבועות" sheetId="1" r:id="rId1"/>
    <sheet name="ניתוח סטטסטי" sheetId="5" r:id="rId2"/>
    <sheet name="חודשים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B8" i="5"/>
  <c r="B7" i="5"/>
  <c r="B6" i="5"/>
  <c r="B5" i="5"/>
  <c r="B4" i="5"/>
  <c r="B3" i="5"/>
  <c r="B2" i="5"/>
  <c r="C7" i="5"/>
  <c r="D7" i="5"/>
  <c r="E7" i="5"/>
  <c r="F7" i="5"/>
  <c r="G7" i="5"/>
  <c r="H7" i="5"/>
  <c r="I7" i="5"/>
  <c r="J7" i="5"/>
  <c r="K7" i="5"/>
  <c r="L7" i="5"/>
  <c r="M7" i="5"/>
  <c r="C8" i="5"/>
  <c r="D8" i="5"/>
  <c r="E8" i="5"/>
  <c r="F8" i="5"/>
  <c r="G8" i="5"/>
  <c r="H8" i="5"/>
  <c r="I8" i="5"/>
  <c r="J8" i="5"/>
  <c r="K8" i="5"/>
  <c r="L8" i="5"/>
  <c r="M8" i="5"/>
  <c r="C6" i="5"/>
  <c r="D6" i="5"/>
  <c r="E6" i="5"/>
  <c r="F6" i="5"/>
  <c r="G6" i="5"/>
  <c r="H6" i="5"/>
  <c r="I6" i="5"/>
  <c r="J6" i="5"/>
  <c r="K6" i="5"/>
  <c r="L6" i="5"/>
  <c r="M6" i="5"/>
  <c r="C5" i="5"/>
  <c r="D5" i="5"/>
  <c r="E5" i="5"/>
  <c r="F5" i="5"/>
  <c r="G5" i="5"/>
  <c r="H5" i="5"/>
  <c r="I5" i="5"/>
  <c r="J5" i="5"/>
  <c r="K5" i="5"/>
  <c r="L5" i="5"/>
  <c r="M5" i="5"/>
  <c r="C4" i="5"/>
  <c r="D4" i="5"/>
  <c r="E4" i="5"/>
  <c r="F4" i="5"/>
  <c r="G4" i="5"/>
  <c r="H4" i="5"/>
  <c r="I4" i="5"/>
  <c r="J4" i="5"/>
  <c r="K4" i="5"/>
  <c r="L4" i="5"/>
  <c r="M4" i="5"/>
  <c r="D3" i="5"/>
  <c r="E3" i="5"/>
  <c r="F3" i="5"/>
  <c r="G3" i="5"/>
  <c r="H3" i="5"/>
  <c r="I3" i="5"/>
  <c r="J3" i="5"/>
  <c r="K3" i="5"/>
  <c r="L3" i="5"/>
  <c r="M3" i="5"/>
  <c r="E2" i="5"/>
  <c r="C2" i="5"/>
  <c r="D2" i="5"/>
  <c r="F2" i="5"/>
  <c r="G2" i="5"/>
  <c r="H2" i="5"/>
  <c r="I2" i="5"/>
  <c r="J2" i="5"/>
  <c r="K2" i="5"/>
  <c r="L2" i="5"/>
  <c r="M2" i="5"/>
</calcChain>
</file>

<file path=xl/sharedStrings.xml><?xml version="1.0" encoding="utf-8"?>
<sst xmlns="http://schemas.openxmlformats.org/spreadsheetml/2006/main" count="150" uniqueCount="126">
  <si>
    <t>שבוע</t>
  </si>
  <si>
    <t>מתאריך</t>
  </si>
  <si>
    <t>עד תאריך</t>
  </si>
  <si>
    <t>07.01.24</t>
  </si>
  <si>
    <t>14.01.24</t>
  </si>
  <si>
    <t>31.03.24</t>
  </si>
  <si>
    <t>21.01.24</t>
  </si>
  <si>
    <t>28.01.24</t>
  </si>
  <si>
    <t>04.02.24</t>
  </si>
  <si>
    <t>11.02.24</t>
  </si>
  <si>
    <t>18.02.24</t>
  </si>
  <si>
    <t>25.02.24</t>
  </si>
  <si>
    <t>03.03.24</t>
  </si>
  <si>
    <t>10.03.24</t>
  </si>
  <si>
    <t>17.03.24</t>
  </si>
  <si>
    <t>24.03.24</t>
  </si>
  <si>
    <t>06.01.24</t>
  </si>
  <si>
    <t>13.01.24</t>
  </si>
  <si>
    <t>20.01.24</t>
  </si>
  <si>
    <t>27.01.24</t>
  </si>
  <si>
    <t>03.02.24</t>
  </si>
  <si>
    <t>10.02.24</t>
  </si>
  <si>
    <t>17.02.24</t>
  </si>
  <si>
    <t>24.02.24</t>
  </si>
  <si>
    <t>02.03.24</t>
  </si>
  <si>
    <t>09.03.24</t>
  </si>
  <si>
    <t>16.03.24</t>
  </si>
  <si>
    <t>23.03.24</t>
  </si>
  <si>
    <t>30.03.24</t>
  </si>
  <si>
    <t>06.04.24</t>
  </si>
  <si>
    <t>07.04.24</t>
  </si>
  <si>
    <t>13.04.24</t>
  </si>
  <si>
    <t>20.04.24</t>
  </si>
  <si>
    <t>21.04.24</t>
  </si>
  <si>
    <t>27.04.24</t>
  </si>
  <si>
    <t>28.04.24</t>
  </si>
  <si>
    <t>04.05.24</t>
  </si>
  <si>
    <t>05.05.24</t>
  </si>
  <si>
    <t>11.05.24</t>
  </si>
  <si>
    <t>12.05.24</t>
  </si>
  <si>
    <t>18.05.24</t>
  </si>
  <si>
    <t>19.05.24</t>
  </si>
  <si>
    <t>25.05.24</t>
  </si>
  <si>
    <t>26.05.24</t>
  </si>
  <si>
    <t>01.06.24</t>
  </si>
  <si>
    <t>02.06.24</t>
  </si>
  <si>
    <t>08.06.24</t>
  </si>
  <si>
    <t>09.06.24</t>
  </si>
  <si>
    <t>15.06.24</t>
  </si>
  <si>
    <t>16.06.24</t>
  </si>
  <si>
    <t>22.06.24</t>
  </si>
  <si>
    <t>23.06.24</t>
  </si>
  <si>
    <t>29.06.24</t>
  </si>
  <si>
    <t>30.06.24</t>
  </si>
  <si>
    <t>06.07.24</t>
  </si>
  <si>
    <t>07.07.24</t>
  </si>
  <si>
    <t>13.07.24</t>
  </si>
  <si>
    <t>14.07.24</t>
  </si>
  <si>
    <t>20.07.24</t>
  </si>
  <si>
    <t>21.07.24</t>
  </si>
  <si>
    <t>27.07.24</t>
  </si>
  <si>
    <t>28.07.24</t>
  </si>
  <si>
    <t>04.08.24</t>
  </si>
  <si>
    <t>10.08.24</t>
  </si>
  <si>
    <t>11.08.24</t>
  </si>
  <si>
    <t>17.08.24</t>
  </si>
  <si>
    <t>18.08.24</t>
  </si>
  <si>
    <t>24.08.24</t>
  </si>
  <si>
    <t>31.12.23</t>
  </si>
  <si>
    <t>14.04.24</t>
  </si>
  <si>
    <t>01.09.24</t>
  </si>
  <si>
    <t>08.09.24</t>
  </si>
  <si>
    <t>15.09.24</t>
  </si>
  <si>
    <t>22.09.24</t>
  </si>
  <si>
    <t>25.08.24</t>
  </si>
  <si>
    <t>29.09.24</t>
  </si>
  <si>
    <t>06.10.24</t>
  </si>
  <si>
    <t>13.10.24</t>
  </si>
  <si>
    <t>20.10.24</t>
  </si>
  <si>
    <t>27.10.24</t>
  </si>
  <si>
    <t>03.11.24</t>
  </si>
  <si>
    <t>10.11.24</t>
  </si>
  <si>
    <t>17.11.24</t>
  </si>
  <si>
    <t>24.11.24</t>
  </si>
  <si>
    <t>01.12.24</t>
  </si>
  <si>
    <t>08.12.24</t>
  </si>
  <si>
    <t>15.12.24</t>
  </si>
  <si>
    <t>22.12.24</t>
  </si>
  <si>
    <t>31.08.24</t>
  </si>
  <si>
    <t>07.09.24</t>
  </si>
  <si>
    <t>03.08.24</t>
  </si>
  <si>
    <t>14.09.24</t>
  </si>
  <si>
    <t>14.12.24</t>
  </si>
  <si>
    <t>21.09.24</t>
  </si>
  <si>
    <t>28.09.24</t>
  </si>
  <si>
    <t>05.10.24</t>
  </si>
  <si>
    <t>12.10.24</t>
  </si>
  <si>
    <t>19.10.24</t>
  </si>
  <si>
    <t>26.10.24</t>
  </si>
  <si>
    <t>02.11.24</t>
  </si>
  <si>
    <t>09.11.24</t>
  </si>
  <si>
    <t>16.11.24</t>
  </si>
  <si>
    <t>23.11.24</t>
  </si>
  <si>
    <t>30.11.24</t>
  </si>
  <si>
    <t>07.12.24</t>
  </si>
  <si>
    <t>21.12.24</t>
  </si>
  <si>
    <t>28.12.24</t>
  </si>
  <si>
    <t>כמות פ״מים</t>
  </si>
  <si>
    <t>כמות שיבוצים</t>
  </si>
  <si>
    <t>כמות אנשי צוות ששובצו</t>
  </si>
  <si>
    <t>מקס משימות לאיש צוות</t>
  </si>
  <si>
    <t>כמות שיבוצים שגויים (כשירות)</t>
  </si>
  <si>
    <t>כמות שיבוצים שגויים (זמינות)</t>
  </si>
  <si>
    <t>כמות שיבוצים שחרגו משעות מנוחה</t>
  </si>
  <si>
    <t>כמות שינוי שיבוץ שנבעו מבלת"מ</t>
  </si>
  <si>
    <t>מינימום משימות לאיש צוות (ששובצו)</t>
  </si>
  <si>
    <t>כמות אנשי צוות שלא שובצו בכלל</t>
  </si>
  <si>
    <t>זמן ממוצע של פ״מ</t>
  </si>
  <si>
    <t xml:space="preserve">משך ממוצע לפיריט </t>
  </si>
  <si>
    <t>חודש</t>
  </si>
  <si>
    <t>ממצוע</t>
  </si>
  <si>
    <t>סטיית תקן</t>
  </si>
  <si>
    <t>מינימום</t>
  </si>
  <si>
    <t>מקסימום</t>
  </si>
  <si>
    <t>חציון</t>
  </si>
  <si>
    <t>פרמטר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</si>
</sst>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rial"/>
      <family val="2"/>
      <charset val="177"/>
      <scheme val="minor"/>
    </font>
    <font>
      <sz val="11"/>
      <color rgb="FF000000"/>
      <name val="Google Sans Text"/>
    </font>
    <font>
      <sz val="8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0" xfId="0" applyNumberForma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86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oogle Sans Tex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oogle Sans Tex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058C44-7346-46FD-8598-BE63CE78CB94}" name="טבלה1" displayName="טבלה1" ref="A1:O53" headerRowDxfId="85" dataDxfId="83" headerRowBorderDxfId="84" tableBorderDxfId="82">
  <autoFilter ref="A1:O53" xr:uid="{44058C44-7346-46FD-8598-BE63CE78CB94}"/>
  <tableColumns count="15">
    <tableColumn id="1" xr3:uid="{00D2B3FD-B239-492F-8024-2AB394547BCD}" name="שבוע" totalsRowLabel="סה&quot;כ" dataDxfId="81" totalsRowDxfId="80"/>
    <tableColumn id="2" xr3:uid="{B612D4A4-192A-43DD-957E-22493CDA1944}" name="מתאריך" dataDxfId="79" totalsRowDxfId="78"/>
    <tableColumn id="3" xr3:uid="{00BA3B51-5D42-4C22-A689-E41AE9FC81A4}" name="עד תאריך" dataDxfId="77" totalsRowDxfId="76"/>
    <tableColumn id="4" xr3:uid="{A1DAEF1E-38CD-439F-8247-1473C17A050F}" name="כמות פ״מים" dataDxfId="75" totalsRowDxfId="74"/>
    <tableColumn id="5" xr3:uid="{FF4ED3C7-0687-4FF5-B3D5-2580DAFCE7D7}" name="כמות שיבוצים" dataDxfId="73" totalsRowDxfId="72"/>
    <tableColumn id="6" xr3:uid="{BB16F593-44F6-4513-BF93-79F9918CFFF2}" name="כמות אנשי צוות ששובצו" dataDxfId="71" totalsRowDxfId="70"/>
    <tableColumn id="9" xr3:uid="{C4390652-C4E2-404E-8D80-A4A730917648}" name="כמות אנשי צוות שלא שובצו בכלל" dataDxfId="69" totalsRowDxfId="68"/>
    <tableColumn id="7" xr3:uid="{6AFE896D-466F-4690-87FE-50AC4E1D7350}" name="מינימום משימות לאיש צוות (ששובצו)" dataDxfId="67" totalsRowDxfId="66"/>
    <tableColumn id="8" xr3:uid="{30B34831-4C8C-4DB0-9497-7AAC0D6C0BAE}" name="מקס משימות לאיש צוות" dataDxfId="65" totalsRowDxfId="64"/>
    <tableColumn id="10" xr3:uid="{328CEE3D-61C5-E649-B9BF-EA0BCB29D693}" name="זמן ממוצע של פ״מ" dataDxfId="63" totalsRowDxfId="62"/>
    <tableColumn id="13" xr3:uid="{FF647FEB-92EA-4859-A235-AB5F27410686}" name="משך ממוצע לפיריט " dataDxfId="61" totalsRowDxfId="60"/>
    <tableColumn id="14" xr3:uid="{E6FEF74F-396A-4306-A9C5-007D45B3809B}" name="כמות שיבוצים שגויים (כשירות)" dataDxfId="59" totalsRowDxfId="58"/>
    <tableColumn id="15" xr3:uid="{E82DD6C9-7608-4F73-A3A0-134D57D4801C}" name="כמות שיבוצים שגויים (זמינות)" dataDxfId="57" totalsRowDxfId="56"/>
    <tableColumn id="16" xr3:uid="{D0255897-EF1E-400F-B351-447B1E9425CB}" name="כמות שינוי שיבוץ שנבעו מבלת&quot;מ" dataDxfId="55" totalsRowDxfId="54"/>
    <tableColumn id="17" xr3:uid="{D66D2F59-28A3-4472-8848-C91BD4E432AB}" name="כמות שיבוצים שחרגו משעות מנוחה" dataDxfId="53" totalsRowDxfId="52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016318-A6FC-4FD0-9638-B0062894E045}" name="טבלה14" displayName="טבלה14" ref="A1:M8" headerRowDxfId="51" dataDxfId="49" headerRowBorderDxfId="50" tableBorderDxfId="48">
  <autoFilter ref="A1:M8" xr:uid="{44058C44-7346-46FD-8598-BE63CE78CB94}"/>
  <tableColumns count="13">
    <tableColumn id="1" xr3:uid="{979B2D7A-0F70-4FC0-9C6C-8F2A53AA32C0}" name="פרמטר" totalsRowLabel="סה&quot;כ" dataDxfId="47" totalsRowDxfId="46"/>
    <tableColumn id="4" xr3:uid="{952FAD6F-66E9-4CD7-971A-30670CA404A5}" name="כמות פ״מים" dataDxfId="45">
      <calculatedColumnFormula>AVERAGE(טבלה1[כמות פ״מים])</calculatedColumnFormula>
    </tableColumn>
    <tableColumn id="5" xr3:uid="{5D93EABD-FA87-4603-8DE9-CEE002042DE6}" name="כמות שיבוצים" dataDxfId="44" totalsRowDxfId="43"/>
    <tableColumn id="6" xr3:uid="{C66C7687-AD15-43A9-8DCA-956D27B2EE56}" name="כמות אנשי צוות ששובצו" dataDxfId="42" totalsRowDxfId="41"/>
    <tableColumn id="9" xr3:uid="{A0F0DDCA-1D58-4EE5-A32D-5200F3FFD502}" name="כמות אנשי צוות שלא שובצו בכלל" dataDxfId="40" totalsRowDxfId="39">
      <calculatedColumnFormula>AVERAGE(טבלה1[כמות אנשי צוות שלא שובצו בכלל])</calculatedColumnFormula>
    </tableColumn>
    <tableColumn id="7" xr3:uid="{657D2AFF-C374-46BA-8FC5-B72C19F3C0CC}" name="מינימום משימות לאיש צוות (ששובצו)" dataDxfId="38"/>
    <tableColumn id="8" xr3:uid="{DA64BA2E-C2DE-43C5-A8E7-7B95892045A3}" name="מקס משימות לאיש צוות" dataDxfId="37" totalsRowDxfId="36"/>
    <tableColumn id="10" xr3:uid="{734868D0-8B0A-457B-A69B-ADD00801CEDE}" name="זמן ממוצע של פ״מ" dataDxfId="35"/>
    <tableColumn id="13" xr3:uid="{E1E6634F-4AC2-4F2C-B855-A0027D7B368B}" name="משך ממוצע לפיריט " dataDxfId="34"/>
    <tableColumn id="14" xr3:uid="{9BF60861-3A0D-47B0-A77A-2086C0E0B181}" name="כמות שיבוצים שגויים (כשירות)" dataDxfId="33"/>
    <tableColumn id="15" xr3:uid="{7228183E-D27E-436E-B83E-0BE19266A3BE}" name="כמות שיבוצים שגויים (זמינות)" dataDxfId="32"/>
    <tableColumn id="16" xr3:uid="{099ADC33-6326-41D8-B2FD-B53A009A44E2}" name="כמות שינוי שיבוץ שנבעו מבלת&quot;מ" dataDxfId="31"/>
    <tableColumn id="17" xr3:uid="{04C67D1D-9F1E-4C3E-9A51-ED55069A73F6}" name="כמות שיבוצים שחרגו משעות מנוחה" dataDxfId="30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9105AF-1032-457C-B29A-00D3BAD28FEB}" name="טבלה13" displayName="טבלה13" ref="A1:M13" headerRowDxfId="29" dataDxfId="27" headerRowBorderDxfId="28" tableBorderDxfId="26">
  <autoFilter ref="A1:M13" xr:uid="{44058C44-7346-46FD-8598-BE63CE78CB94}"/>
  <tableColumns count="13">
    <tableColumn id="1" xr3:uid="{F40EB5AB-22B4-44CA-8E4C-EED218F0F7F8}" name="חודש" totalsRowLabel="סה&quot;כ" dataDxfId="25" totalsRowDxfId="24"/>
    <tableColumn id="4" xr3:uid="{264B2168-E133-4FB2-AD39-31B2CCD35851}" name="כמות פ״מים" dataDxfId="23" totalsRowDxfId="22"/>
    <tableColumn id="5" xr3:uid="{D5B0DEC7-A0C3-427A-A42E-1DFBF1D5E9C5}" name="כמות שיבוצים" dataDxfId="21" totalsRowDxfId="20"/>
    <tableColumn id="6" xr3:uid="{7C03210B-D95C-44DE-B44B-66CDAAF0178E}" name="כמות אנשי צוות ששובצו" dataDxfId="19" totalsRowDxfId="18"/>
    <tableColumn id="9" xr3:uid="{9EB72174-D846-4836-A04E-9D0A44563255}" name="כמות אנשי צוות שלא שובצו בכלל" dataDxfId="17" totalsRowDxfId="16"/>
    <tableColumn id="7" xr3:uid="{F9787E62-F620-4E2A-A4D0-266DFDDD84D6}" name="מינימום משימות לאיש צוות (ששובצו)" dataDxfId="15" totalsRowDxfId="14"/>
    <tableColumn id="8" xr3:uid="{829F58E4-6C08-4D49-9800-48DFFA86CE9D}" name="מקס משימות לאיש צוות" dataDxfId="2" totalsRowDxfId="13"/>
    <tableColumn id="10" xr3:uid="{0AF62381-E6EB-435F-BDD5-37EFC5BEAABF}" name="זמן ממוצע של פ״מ" dataDxfId="0" totalsRowDxfId="12"/>
    <tableColumn id="13" xr3:uid="{30317214-C93C-48D4-AC98-A43E01539857}" name="משך ממוצע לפיריט " dataDxfId="1" totalsRowDxfId="11"/>
    <tableColumn id="14" xr3:uid="{DA3C599E-78EF-461E-A563-F49613657E75}" name="כמות שיבוצים שגויים (כשירות)" dataDxfId="10" totalsRowDxfId="9"/>
    <tableColumn id="15" xr3:uid="{B8B7C6C4-2F14-4942-A7CF-C549D10C1AEC}" name="כמות שיבוצים שגויים (זמינות)" dataDxfId="8" totalsRowDxfId="7"/>
    <tableColumn id="16" xr3:uid="{BCF1497D-794D-41B5-9194-A6BFA63B1FD8}" name="כמות שינוי שיבוץ שנבעו מבלת&quot;מ" dataDxfId="6" totalsRowDxfId="5"/>
    <tableColumn id="17" xr3:uid="{BB23F896-0761-4AA3-9B72-659A71BEF3B7}" name="כמות שיבוצים שחרגו משעות מנוחה" dataDxfId="4" totalsRowDxfId="3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8A0E-413C-4F06-A848-E8CE0A88C6FF}">
  <dimension ref="A1:Q60"/>
  <sheetViews>
    <sheetView rightToLeft="1" tabSelected="1" workbookViewId="0">
      <pane ySplit="1" topLeftCell="A2" activePane="bottomLeft" state="frozen"/>
      <selection pane="bottomLeft" activeCell="L8" sqref="L8"/>
    </sheetView>
  </sheetViews>
  <sheetFormatPr defaultColWidth="7" defaultRowHeight="13.8"/>
  <cols>
    <col min="1" max="1" width="5.19921875" customWidth="1"/>
    <col min="2" max="2" width="7.69921875" customWidth="1"/>
    <col min="3" max="3" width="8.796875" customWidth="1"/>
    <col min="4" max="4" width="5.796875" style="3" customWidth="1"/>
    <col min="5" max="5" width="6.796875" customWidth="1"/>
    <col min="6" max="6" width="8.796875" customWidth="1"/>
    <col min="7" max="7" width="8.69921875" customWidth="1"/>
    <col min="8" max="8" width="11" customWidth="1"/>
    <col min="9" max="9" width="7.69921875" customWidth="1"/>
    <col min="10" max="10" width="6.69921875" customWidth="1"/>
    <col min="11" max="11" width="7" customWidth="1"/>
    <col min="12" max="12" width="10.8984375" customWidth="1"/>
    <col min="13" max="13" width="10.296875" customWidth="1"/>
    <col min="14" max="14" width="10.59765625" customWidth="1"/>
    <col min="15" max="15" width="9.8984375" customWidth="1"/>
    <col min="16" max="16" width="8.69921875" bestFit="1" customWidth="1"/>
    <col min="17" max="17" width="9" bestFit="1" customWidth="1"/>
  </cols>
  <sheetData>
    <row r="1" spans="1:17" s="1" customFormat="1" ht="69.599999999999994" thickBot="1">
      <c r="A1" s="4" t="s">
        <v>0</v>
      </c>
      <c r="B1" s="5" t="s">
        <v>1</v>
      </c>
      <c r="C1" s="5" t="s">
        <v>2</v>
      </c>
      <c r="D1" s="5" t="s">
        <v>107</v>
      </c>
      <c r="E1" s="5" t="s">
        <v>108</v>
      </c>
      <c r="F1" s="5" t="s">
        <v>109</v>
      </c>
      <c r="G1" s="5" t="s">
        <v>116</v>
      </c>
      <c r="H1" s="5" t="s">
        <v>115</v>
      </c>
      <c r="I1" s="5" t="s">
        <v>110</v>
      </c>
      <c r="J1" s="5" t="s">
        <v>117</v>
      </c>
      <c r="K1" s="5" t="s">
        <v>118</v>
      </c>
      <c r="L1" s="5" t="s">
        <v>111</v>
      </c>
      <c r="M1" s="5" t="s">
        <v>112</v>
      </c>
      <c r="N1" s="5" t="s">
        <v>114</v>
      </c>
      <c r="O1" s="6" t="s">
        <v>113</v>
      </c>
      <c r="Q1" s="2"/>
    </row>
    <row r="2" spans="1:17">
      <c r="A2" s="3">
        <v>1</v>
      </c>
      <c r="B2" s="3" t="s">
        <v>68</v>
      </c>
      <c r="C2" s="3" t="s">
        <v>16</v>
      </c>
      <c r="D2">
        <v>36</v>
      </c>
      <c r="E2">
        <v>474</v>
      </c>
      <c r="F2">
        <v>52</v>
      </c>
      <c r="G2">
        <v>68</v>
      </c>
      <c r="H2" s="3">
        <v>2</v>
      </c>
      <c r="I2">
        <v>11</v>
      </c>
      <c r="J2" s="7">
        <v>18.22</v>
      </c>
      <c r="K2" s="3">
        <v>4.1100000000000003</v>
      </c>
      <c r="L2" s="3">
        <v>6</v>
      </c>
      <c r="M2" s="3">
        <v>5</v>
      </c>
      <c r="N2" s="3">
        <v>2</v>
      </c>
      <c r="O2" s="3">
        <v>8</v>
      </c>
    </row>
    <row r="3" spans="1:17">
      <c r="A3" s="3">
        <v>2</v>
      </c>
      <c r="B3" s="3" t="s">
        <v>3</v>
      </c>
      <c r="C3" s="3" t="s">
        <v>17</v>
      </c>
      <c r="D3">
        <v>38</v>
      </c>
      <c r="E3">
        <v>504</v>
      </c>
      <c r="F3">
        <v>55</v>
      </c>
      <c r="G3">
        <v>65</v>
      </c>
      <c r="H3" s="3">
        <v>3</v>
      </c>
      <c r="I3">
        <v>14</v>
      </c>
      <c r="J3" s="7">
        <v>16.88</v>
      </c>
      <c r="K3" s="3">
        <v>3.91</v>
      </c>
      <c r="L3" s="3">
        <v>5</v>
      </c>
      <c r="M3" s="3">
        <v>6</v>
      </c>
      <c r="N3" s="3">
        <v>3</v>
      </c>
      <c r="O3" s="3">
        <v>2</v>
      </c>
    </row>
    <row r="4" spans="1:17">
      <c r="A4" s="3">
        <v>3</v>
      </c>
      <c r="B4" s="3" t="s">
        <v>4</v>
      </c>
      <c r="C4" s="3" t="s">
        <v>18</v>
      </c>
      <c r="D4">
        <v>65</v>
      </c>
      <c r="E4">
        <v>950</v>
      </c>
      <c r="F4">
        <v>103</v>
      </c>
      <c r="G4">
        <v>17</v>
      </c>
      <c r="H4" s="3">
        <v>2</v>
      </c>
      <c r="I4">
        <v>11</v>
      </c>
      <c r="J4" s="7">
        <v>20</v>
      </c>
      <c r="K4" s="3">
        <v>4.49</v>
      </c>
      <c r="L4" s="3">
        <v>15</v>
      </c>
      <c r="M4" s="3">
        <v>15</v>
      </c>
      <c r="N4" s="3">
        <v>1</v>
      </c>
      <c r="O4" s="3">
        <v>9</v>
      </c>
    </row>
    <row r="5" spans="1:17">
      <c r="A5" s="3">
        <v>4</v>
      </c>
      <c r="B5" s="3" t="s">
        <v>6</v>
      </c>
      <c r="C5" s="3" t="s">
        <v>19</v>
      </c>
      <c r="D5">
        <v>42</v>
      </c>
      <c r="E5">
        <v>590</v>
      </c>
      <c r="F5">
        <v>64</v>
      </c>
      <c r="G5">
        <v>56</v>
      </c>
      <c r="H5" s="3">
        <v>3</v>
      </c>
      <c r="I5">
        <v>12</v>
      </c>
      <c r="J5" s="7">
        <v>15.11</v>
      </c>
      <c r="K5" s="3">
        <v>3.26</v>
      </c>
      <c r="L5" s="3">
        <v>8</v>
      </c>
      <c r="M5" s="3">
        <v>7</v>
      </c>
      <c r="N5" s="3">
        <v>3</v>
      </c>
      <c r="O5" s="3">
        <v>3</v>
      </c>
    </row>
    <row r="6" spans="1:17">
      <c r="A6" s="3">
        <v>5</v>
      </c>
      <c r="B6" s="3" t="s">
        <v>7</v>
      </c>
      <c r="C6" s="3" t="s">
        <v>20</v>
      </c>
      <c r="D6">
        <v>47</v>
      </c>
      <c r="E6">
        <v>626</v>
      </c>
      <c r="F6">
        <v>68</v>
      </c>
      <c r="G6">
        <v>52</v>
      </c>
      <c r="H6" s="3">
        <v>1</v>
      </c>
      <c r="I6">
        <v>11</v>
      </c>
      <c r="J6" s="7">
        <v>20</v>
      </c>
      <c r="K6" s="3">
        <v>4.49</v>
      </c>
      <c r="L6" s="3">
        <v>2</v>
      </c>
      <c r="M6" s="3">
        <v>10</v>
      </c>
      <c r="N6" s="3">
        <v>7</v>
      </c>
      <c r="O6" s="3">
        <v>8</v>
      </c>
    </row>
    <row r="7" spans="1:17">
      <c r="A7" s="3">
        <v>6</v>
      </c>
      <c r="B7" s="3" t="s">
        <v>8</v>
      </c>
      <c r="C7" s="3" t="s">
        <v>21</v>
      </c>
      <c r="D7">
        <v>53</v>
      </c>
      <c r="E7">
        <v>691</v>
      </c>
      <c r="F7">
        <v>75</v>
      </c>
      <c r="G7">
        <v>45</v>
      </c>
      <c r="H7" s="3">
        <v>3</v>
      </c>
      <c r="I7">
        <v>14</v>
      </c>
      <c r="J7" s="7">
        <v>19.89</v>
      </c>
      <c r="K7" s="3">
        <v>4.45</v>
      </c>
      <c r="L7" s="3">
        <v>8</v>
      </c>
      <c r="M7" s="3">
        <v>13</v>
      </c>
      <c r="N7" s="3">
        <v>3</v>
      </c>
      <c r="O7" s="3">
        <v>9</v>
      </c>
    </row>
    <row r="8" spans="1:17">
      <c r="A8" s="3">
        <v>7</v>
      </c>
      <c r="B8" s="3" t="s">
        <v>9</v>
      </c>
      <c r="C8" s="3" t="s">
        <v>22</v>
      </c>
      <c r="D8">
        <v>60</v>
      </c>
      <c r="E8">
        <v>864</v>
      </c>
      <c r="F8">
        <v>94</v>
      </c>
      <c r="G8">
        <v>26</v>
      </c>
      <c r="H8" s="3">
        <v>3</v>
      </c>
      <c r="I8">
        <v>14</v>
      </c>
      <c r="J8" s="7">
        <v>17.57</v>
      </c>
      <c r="K8" s="3">
        <v>3.56</v>
      </c>
      <c r="L8" s="3">
        <v>13</v>
      </c>
      <c r="M8" s="3">
        <v>5</v>
      </c>
      <c r="N8" s="3">
        <v>5</v>
      </c>
      <c r="O8" s="3">
        <v>7</v>
      </c>
    </row>
    <row r="9" spans="1:17">
      <c r="A9" s="3">
        <v>8</v>
      </c>
      <c r="B9" s="3" t="s">
        <v>10</v>
      </c>
      <c r="C9" s="3" t="s">
        <v>23</v>
      </c>
      <c r="D9">
        <v>48</v>
      </c>
      <c r="E9">
        <v>682</v>
      </c>
      <c r="F9">
        <v>74</v>
      </c>
      <c r="G9">
        <v>46</v>
      </c>
      <c r="H9" s="3">
        <v>4</v>
      </c>
      <c r="I9">
        <v>14</v>
      </c>
      <c r="J9" s="7">
        <v>20</v>
      </c>
      <c r="K9" s="3">
        <v>4.82</v>
      </c>
      <c r="L9" s="3">
        <v>12</v>
      </c>
      <c r="M9" s="3">
        <v>7</v>
      </c>
      <c r="N9" s="3">
        <v>6</v>
      </c>
      <c r="O9" s="3">
        <v>10</v>
      </c>
    </row>
    <row r="10" spans="1:17">
      <c r="A10" s="3">
        <v>9</v>
      </c>
      <c r="B10" s="3" t="s">
        <v>11</v>
      </c>
      <c r="C10" s="3" t="s">
        <v>24</v>
      </c>
      <c r="D10">
        <v>53</v>
      </c>
      <c r="E10">
        <v>730</v>
      </c>
      <c r="F10">
        <v>79</v>
      </c>
      <c r="G10">
        <v>41</v>
      </c>
      <c r="H10" s="3">
        <v>3</v>
      </c>
      <c r="I10">
        <v>14</v>
      </c>
      <c r="J10" s="7">
        <v>20</v>
      </c>
      <c r="K10" s="3">
        <v>4.99</v>
      </c>
      <c r="L10" s="3">
        <v>5</v>
      </c>
      <c r="M10" s="3">
        <v>13</v>
      </c>
      <c r="N10" s="3">
        <v>5</v>
      </c>
      <c r="O10" s="3">
        <v>3</v>
      </c>
    </row>
    <row r="11" spans="1:17">
      <c r="A11" s="3">
        <v>10</v>
      </c>
      <c r="B11" s="3" t="s">
        <v>12</v>
      </c>
      <c r="C11" s="3" t="s">
        <v>25</v>
      </c>
      <c r="D11">
        <v>65</v>
      </c>
      <c r="E11">
        <v>950</v>
      </c>
      <c r="F11">
        <v>103</v>
      </c>
      <c r="G11">
        <v>17</v>
      </c>
      <c r="H11" s="3">
        <v>3</v>
      </c>
      <c r="I11">
        <v>14</v>
      </c>
      <c r="J11" s="7">
        <v>20</v>
      </c>
      <c r="K11" s="3">
        <v>4.38</v>
      </c>
      <c r="L11" s="3">
        <v>16</v>
      </c>
      <c r="M11" s="3">
        <v>14</v>
      </c>
      <c r="N11" s="3">
        <v>2</v>
      </c>
      <c r="O11" s="3">
        <v>3</v>
      </c>
    </row>
    <row r="12" spans="1:17">
      <c r="A12" s="3">
        <v>11</v>
      </c>
      <c r="B12" s="3" t="s">
        <v>13</v>
      </c>
      <c r="C12" s="3" t="s">
        <v>26</v>
      </c>
      <c r="D12">
        <v>66</v>
      </c>
      <c r="E12">
        <v>961</v>
      </c>
      <c r="F12">
        <v>105</v>
      </c>
      <c r="G12">
        <v>15</v>
      </c>
      <c r="H12" s="3">
        <v>1</v>
      </c>
      <c r="I12">
        <v>13</v>
      </c>
      <c r="J12" s="7">
        <v>20</v>
      </c>
      <c r="K12" s="3">
        <v>4.05</v>
      </c>
      <c r="L12" s="3">
        <v>17</v>
      </c>
      <c r="M12" s="3">
        <v>8</v>
      </c>
      <c r="N12" s="3">
        <v>2</v>
      </c>
      <c r="O12" s="3">
        <v>3</v>
      </c>
    </row>
    <row r="13" spans="1:17">
      <c r="A13" s="3">
        <v>12</v>
      </c>
      <c r="B13" s="3" t="s">
        <v>14</v>
      </c>
      <c r="C13" s="3" t="s">
        <v>27</v>
      </c>
      <c r="D13">
        <v>48</v>
      </c>
      <c r="E13">
        <v>626</v>
      </c>
      <c r="F13">
        <v>68</v>
      </c>
      <c r="G13">
        <v>52</v>
      </c>
      <c r="H13" s="3">
        <v>4</v>
      </c>
      <c r="I13">
        <v>13</v>
      </c>
      <c r="J13" s="7">
        <v>20</v>
      </c>
      <c r="K13" s="3">
        <v>4.93</v>
      </c>
      <c r="L13" s="3">
        <v>6</v>
      </c>
      <c r="M13" s="3">
        <v>5</v>
      </c>
      <c r="N13" s="3">
        <v>3</v>
      </c>
      <c r="O13" s="3">
        <v>8</v>
      </c>
    </row>
    <row r="14" spans="1:17">
      <c r="A14" s="3">
        <v>13</v>
      </c>
      <c r="B14" s="3" t="s">
        <v>15</v>
      </c>
      <c r="C14" s="3" t="s">
        <v>28</v>
      </c>
      <c r="D14">
        <v>54</v>
      </c>
      <c r="E14">
        <v>722</v>
      </c>
      <c r="F14">
        <v>79</v>
      </c>
      <c r="G14">
        <v>41</v>
      </c>
      <c r="H14" s="3">
        <v>5</v>
      </c>
      <c r="I14">
        <v>11</v>
      </c>
      <c r="J14" s="7">
        <v>17.43</v>
      </c>
      <c r="K14" s="3">
        <v>2.88</v>
      </c>
      <c r="L14" s="3">
        <v>13</v>
      </c>
      <c r="M14" s="3">
        <v>6</v>
      </c>
      <c r="N14" s="3">
        <v>3</v>
      </c>
      <c r="O14" s="3">
        <v>1</v>
      </c>
    </row>
    <row r="15" spans="1:17">
      <c r="A15" s="3">
        <v>14</v>
      </c>
      <c r="B15" s="3" t="s">
        <v>5</v>
      </c>
      <c r="C15" s="3" t="s">
        <v>29</v>
      </c>
      <c r="D15">
        <v>57</v>
      </c>
      <c r="E15">
        <v>770</v>
      </c>
      <c r="F15">
        <v>96</v>
      </c>
      <c r="G15">
        <v>24</v>
      </c>
      <c r="H15" s="3">
        <v>1</v>
      </c>
      <c r="I15">
        <v>13</v>
      </c>
      <c r="J15" s="7">
        <v>20</v>
      </c>
      <c r="K15" s="3">
        <v>4.8</v>
      </c>
      <c r="L15" s="3">
        <v>8</v>
      </c>
      <c r="M15" s="3">
        <v>11</v>
      </c>
      <c r="N15" s="3">
        <v>6</v>
      </c>
      <c r="O15" s="3">
        <v>8</v>
      </c>
    </row>
    <row r="16" spans="1:17">
      <c r="A16" s="3">
        <v>15</v>
      </c>
      <c r="B16" s="3" t="s">
        <v>30</v>
      </c>
      <c r="C16" s="3" t="s">
        <v>31</v>
      </c>
      <c r="D16">
        <v>55</v>
      </c>
      <c r="E16">
        <v>792</v>
      </c>
      <c r="F16">
        <v>98</v>
      </c>
      <c r="G16">
        <v>22</v>
      </c>
      <c r="H16" s="3">
        <v>1</v>
      </c>
      <c r="I16">
        <v>10</v>
      </c>
      <c r="J16" s="7">
        <v>20</v>
      </c>
      <c r="K16" s="3">
        <v>4.1900000000000004</v>
      </c>
      <c r="L16" s="3">
        <v>11</v>
      </c>
      <c r="M16" s="3">
        <v>11</v>
      </c>
      <c r="N16" s="3">
        <v>3</v>
      </c>
      <c r="O16" s="3">
        <v>6</v>
      </c>
    </row>
    <row r="17" spans="1:15">
      <c r="A17" s="3">
        <v>16</v>
      </c>
      <c r="B17" s="3" t="s">
        <v>69</v>
      </c>
      <c r="C17" s="3" t="s">
        <v>32</v>
      </c>
      <c r="D17">
        <v>58</v>
      </c>
      <c r="E17">
        <v>757</v>
      </c>
      <c r="F17">
        <v>94</v>
      </c>
      <c r="G17">
        <v>26</v>
      </c>
      <c r="H17" s="3">
        <v>5</v>
      </c>
      <c r="I17">
        <v>13</v>
      </c>
      <c r="J17" s="7">
        <v>19.260000000000002</v>
      </c>
      <c r="K17" s="3">
        <v>2.95</v>
      </c>
      <c r="L17" s="3">
        <v>6</v>
      </c>
      <c r="M17" s="3">
        <v>11</v>
      </c>
      <c r="N17" s="3">
        <v>4</v>
      </c>
      <c r="O17" s="3">
        <v>7</v>
      </c>
    </row>
    <row r="18" spans="1:15">
      <c r="A18" s="3">
        <v>17</v>
      </c>
      <c r="B18" s="3" t="s">
        <v>33</v>
      </c>
      <c r="C18" s="3" t="s">
        <v>34</v>
      </c>
      <c r="D18">
        <v>53</v>
      </c>
      <c r="E18">
        <v>739</v>
      </c>
      <c r="F18">
        <v>92</v>
      </c>
      <c r="G18">
        <v>28</v>
      </c>
      <c r="H18" s="3">
        <v>3</v>
      </c>
      <c r="I18">
        <v>13</v>
      </c>
      <c r="J18" s="7">
        <v>20</v>
      </c>
      <c r="K18" s="3">
        <v>4.79</v>
      </c>
      <c r="L18" s="3">
        <v>13</v>
      </c>
      <c r="M18" s="3">
        <v>6</v>
      </c>
      <c r="N18" s="3">
        <v>6</v>
      </c>
      <c r="O18" s="3">
        <v>4</v>
      </c>
    </row>
    <row r="19" spans="1:15">
      <c r="A19" s="3">
        <v>18</v>
      </c>
      <c r="B19" s="3" t="s">
        <v>35</v>
      </c>
      <c r="C19" s="3" t="s">
        <v>36</v>
      </c>
      <c r="D19">
        <v>33</v>
      </c>
      <c r="E19">
        <v>475</v>
      </c>
      <c r="F19">
        <v>59</v>
      </c>
      <c r="G19">
        <v>61</v>
      </c>
      <c r="H19" s="3">
        <v>2</v>
      </c>
      <c r="I19">
        <v>12</v>
      </c>
      <c r="J19" s="7">
        <v>20</v>
      </c>
      <c r="K19" s="3">
        <v>4.41</v>
      </c>
      <c r="L19" s="3">
        <v>4</v>
      </c>
      <c r="M19" s="3">
        <v>7</v>
      </c>
      <c r="N19" s="3">
        <v>6</v>
      </c>
      <c r="O19" s="3">
        <v>6</v>
      </c>
    </row>
    <row r="20" spans="1:15">
      <c r="A20" s="3">
        <v>19</v>
      </c>
      <c r="B20" s="3" t="s">
        <v>37</v>
      </c>
      <c r="C20" s="3" t="s">
        <v>38</v>
      </c>
      <c r="D20">
        <v>56</v>
      </c>
      <c r="E20">
        <v>814</v>
      </c>
      <c r="F20">
        <v>101</v>
      </c>
      <c r="G20">
        <v>19</v>
      </c>
      <c r="H20" s="3">
        <v>4</v>
      </c>
      <c r="I20">
        <v>12</v>
      </c>
      <c r="J20" s="7">
        <v>20</v>
      </c>
      <c r="K20" s="3">
        <v>3.9</v>
      </c>
      <c r="L20" s="3">
        <v>15</v>
      </c>
      <c r="M20" s="3">
        <v>14</v>
      </c>
      <c r="N20" s="3">
        <v>6</v>
      </c>
      <c r="O20" s="3">
        <v>3</v>
      </c>
    </row>
    <row r="21" spans="1:15">
      <c r="A21" s="3">
        <v>20</v>
      </c>
      <c r="B21" s="3" t="s">
        <v>39</v>
      </c>
      <c r="C21" s="3" t="s">
        <v>40</v>
      </c>
      <c r="D21">
        <v>62</v>
      </c>
      <c r="E21">
        <v>832</v>
      </c>
      <c r="F21">
        <v>103</v>
      </c>
      <c r="G21">
        <v>17</v>
      </c>
      <c r="H21" s="3">
        <v>2</v>
      </c>
      <c r="I21">
        <v>11</v>
      </c>
      <c r="J21" s="7">
        <v>20</v>
      </c>
      <c r="K21" s="3">
        <v>4.72</v>
      </c>
      <c r="L21" s="3">
        <v>12</v>
      </c>
      <c r="M21" s="3">
        <v>8</v>
      </c>
      <c r="N21" s="3">
        <v>7</v>
      </c>
      <c r="O21" s="3">
        <v>8</v>
      </c>
    </row>
    <row r="22" spans="1:15">
      <c r="A22" s="3">
        <v>21</v>
      </c>
      <c r="B22" s="3" t="s">
        <v>41</v>
      </c>
      <c r="C22" s="3" t="s">
        <v>42</v>
      </c>
      <c r="D22">
        <v>46</v>
      </c>
      <c r="E22">
        <v>670</v>
      </c>
      <c r="F22">
        <v>83</v>
      </c>
      <c r="G22">
        <v>37</v>
      </c>
      <c r="H22" s="3">
        <v>5</v>
      </c>
      <c r="I22">
        <v>12</v>
      </c>
      <c r="J22" s="7">
        <v>20</v>
      </c>
      <c r="K22" s="3">
        <v>3.93</v>
      </c>
      <c r="L22" s="3">
        <v>9</v>
      </c>
      <c r="M22" s="3">
        <v>8</v>
      </c>
      <c r="N22" s="3">
        <v>3</v>
      </c>
      <c r="O22" s="3">
        <v>1</v>
      </c>
    </row>
    <row r="23" spans="1:15">
      <c r="A23" s="3">
        <v>22</v>
      </c>
      <c r="B23" s="3" t="s">
        <v>43</v>
      </c>
      <c r="C23" s="3" t="s">
        <v>44</v>
      </c>
      <c r="D23">
        <v>45</v>
      </c>
      <c r="E23">
        <v>594</v>
      </c>
      <c r="F23">
        <v>74</v>
      </c>
      <c r="G23">
        <v>46</v>
      </c>
      <c r="H23" s="3">
        <v>1</v>
      </c>
      <c r="I23">
        <v>11</v>
      </c>
      <c r="J23" s="7">
        <v>19.98</v>
      </c>
      <c r="K23" s="3">
        <v>3.64</v>
      </c>
      <c r="L23" s="3">
        <v>9</v>
      </c>
      <c r="M23" s="3">
        <v>12</v>
      </c>
      <c r="N23" s="3">
        <v>4</v>
      </c>
      <c r="O23" s="3">
        <v>4</v>
      </c>
    </row>
    <row r="24" spans="1:15">
      <c r="A24" s="3">
        <v>23</v>
      </c>
      <c r="B24" s="3" t="s">
        <v>45</v>
      </c>
      <c r="C24" s="3" t="s">
        <v>46</v>
      </c>
      <c r="D24">
        <v>44</v>
      </c>
      <c r="E24">
        <v>631</v>
      </c>
      <c r="F24">
        <v>78</v>
      </c>
      <c r="G24">
        <v>42</v>
      </c>
      <c r="H24" s="3">
        <v>1</v>
      </c>
      <c r="I24">
        <v>11</v>
      </c>
      <c r="J24" s="7">
        <v>20</v>
      </c>
      <c r="K24" s="3">
        <v>4.5</v>
      </c>
      <c r="L24" s="3">
        <v>8</v>
      </c>
      <c r="M24" s="3">
        <v>11</v>
      </c>
      <c r="N24" s="3">
        <v>6</v>
      </c>
      <c r="O24" s="3">
        <v>10</v>
      </c>
    </row>
    <row r="25" spans="1:15">
      <c r="A25" s="3">
        <v>24</v>
      </c>
      <c r="B25" s="3" t="s">
        <v>47</v>
      </c>
      <c r="C25" s="3" t="s">
        <v>48</v>
      </c>
      <c r="D25">
        <v>62</v>
      </c>
      <c r="E25">
        <v>935</v>
      </c>
      <c r="F25">
        <v>112</v>
      </c>
      <c r="G25">
        <v>8</v>
      </c>
      <c r="H25" s="3">
        <v>4</v>
      </c>
      <c r="I25">
        <v>11</v>
      </c>
      <c r="J25" s="7">
        <v>20</v>
      </c>
      <c r="K25" s="3">
        <v>3.94</v>
      </c>
      <c r="L25" s="3">
        <v>14</v>
      </c>
      <c r="M25" s="3">
        <v>9</v>
      </c>
      <c r="N25" s="3">
        <v>10</v>
      </c>
      <c r="O25" s="3">
        <v>2</v>
      </c>
    </row>
    <row r="26" spans="1:15">
      <c r="A26" s="3">
        <v>25</v>
      </c>
      <c r="B26" s="3" t="s">
        <v>49</v>
      </c>
      <c r="C26" s="3" t="s">
        <v>50</v>
      </c>
      <c r="D26">
        <v>62</v>
      </c>
      <c r="E26">
        <v>851</v>
      </c>
      <c r="F26">
        <v>106</v>
      </c>
      <c r="G26">
        <v>14</v>
      </c>
      <c r="H26" s="3">
        <v>1</v>
      </c>
      <c r="I26">
        <v>11</v>
      </c>
      <c r="J26" s="7">
        <v>20</v>
      </c>
      <c r="K26" s="3">
        <v>4.1500000000000004</v>
      </c>
      <c r="L26" s="3">
        <v>13</v>
      </c>
      <c r="M26" s="3">
        <v>8</v>
      </c>
      <c r="N26" s="3">
        <v>6</v>
      </c>
      <c r="O26" s="3">
        <v>6</v>
      </c>
    </row>
    <row r="27" spans="1:15">
      <c r="A27" s="3">
        <v>26</v>
      </c>
      <c r="B27" s="3" t="s">
        <v>51</v>
      </c>
      <c r="C27" s="3" t="s">
        <v>52</v>
      </c>
      <c r="D27">
        <v>41</v>
      </c>
      <c r="E27">
        <v>581</v>
      </c>
      <c r="F27">
        <v>72</v>
      </c>
      <c r="G27">
        <v>48</v>
      </c>
      <c r="H27" s="3">
        <v>1</v>
      </c>
      <c r="I27">
        <v>11</v>
      </c>
      <c r="J27" s="7">
        <v>20</v>
      </c>
      <c r="K27" s="3">
        <v>3.4</v>
      </c>
      <c r="L27" s="3">
        <v>4</v>
      </c>
      <c r="M27" s="3">
        <v>11</v>
      </c>
      <c r="N27" s="3">
        <v>6</v>
      </c>
      <c r="O27" s="3">
        <v>1</v>
      </c>
    </row>
    <row r="28" spans="1:15">
      <c r="A28" s="3">
        <v>27</v>
      </c>
      <c r="B28" s="3" t="s">
        <v>53</v>
      </c>
      <c r="C28" s="3" t="s">
        <v>54</v>
      </c>
      <c r="D28">
        <v>43</v>
      </c>
      <c r="E28">
        <v>560</v>
      </c>
      <c r="F28">
        <v>78</v>
      </c>
      <c r="G28">
        <v>42</v>
      </c>
      <c r="H28" s="3">
        <v>4</v>
      </c>
      <c r="I28">
        <v>9</v>
      </c>
      <c r="J28" s="7">
        <v>14.15</v>
      </c>
      <c r="K28" s="3">
        <v>2.96</v>
      </c>
      <c r="L28" s="3">
        <v>6</v>
      </c>
      <c r="M28" s="3">
        <v>9</v>
      </c>
      <c r="N28" s="3">
        <v>2</v>
      </c>
      <c r="O28" s="3">
        <v>7</v>
      </c>
    </row>
    <row r="29" spans="1:15">
      <c r="A29" s="3">
        <v>28</v>
      </c>
      <c r="B29" s="3" t="s">
        <v>55</v>
      </c>
      <c r="C29" s="3" t="s">
        <v>56</v>
      </c>
      <c r="D29">
        <v>56</v>
      </c>
      <c r="E29">
        <v>801</v>
      </c>
      <c r="F29">
        <v>112</v>
      </c>
      <c r="G29">
        <v>8</v>
      </c>
      <c r="H29" s="3">
        <v>4</v>
      </c>
      <c r="I29">
        <v>11</v>
      </c>
      <c r="J29" s="7">
        <v>20</v>
      </c>
      <c r="K29" s="3">
        <v>4.1100000000000003</v>
      </c>
      <c r="L29" s="3">
        <v>9</v>
      </c>
      <c r="M29" s="3">
        <v>6</v>
      </c>
      <c r="N29" s="3">
        <v>1</v>
      </c>
      <c r="O29" s="3">
        <v>4</v>
      </c>
    </row>
    <row r="30" spans="1:15">
      <c r="A30" s="3">
        <v>29</v>
      </c>
      <c r="B30" s="3" t="s">
        <v>57</v>
      </c>
      <c r="C30" s="3" t="s">
        <v>58</v>
      </c>
      <c r="D30">
        <v>42</v>
      </c>
      <c r="E30">
        <v>600</v>
      </c>
      <c r="F30">
        <v>84</v>
      </c>
      <c r="G30">
        <v>36</v>
      </c>
      <c r="H30" s="3">
        <v>5</v>
      </c>
      <c r="I30">
        <v>10</v>
      </c>
      <c r="J30" s="7">
        <v>20</v>
      </c>
      <c r="K30" s="3">
        <v>4.93</v>
      </c>
      <c r="L30" s="3">
        <v>6</v>
      </c>
      <c r="M30" s="3">
        <v>9</v>
      </c>
      <c r="N30" s="3">
        <v>2</v>
      </c>
      <c r="O30" s="3">
        <v>5</v>
      </c>
    </row>
    <row r="31" spans="1:15">
      <c r="A31" s="3">
        <v>30</v>
      </c>
      <c r="B31" s="3" t="s">
        <v>59</v>
      </c>
      <c r="C31" s="3" t="s">
        <v>60</v>
      </c>
      <c r="D31">
        <v>41</v>
      </c>
      <c r="E31">
        <v>584</v>
      </c>
      <c r="F31">
        <v>82</v>
      </c>
      <c r="G31">
        <v>38</v>
      </c>
      <c r="H31" s="3">
        <v>1</v>
      </c>
      <c r="I31">
        <v>12</v>
      </c>
      <c r="J31" s="7">
        <v>20</v>
      </c>
      <c r="K31" s="3">
        <v>4.0999999999999996</v>
      </c>
      <c r="L31" s="3">
        <v>8</v>
      </c>
      <c r="M31" s="3">
        <v>9</v>
      </c>
      <c r="N31" s="3">
        <v>3</v>
      </c>
      <c r="O31" s="3">
        <v>5</v>
      </c>
    </row>
    <row r="32" spans="1:15">
      <c r="A32" s="3">
        <v>31</v>
      </c>
      <c r="B32" s="3" t="s">
        <v>61</v>
      </c>
      <c r="C32" s="3" t="s">
        <v>90</v>
      </c>
      <c r="D32">
        <v>43</v>
      </c>
      <c r="E32">
        <v>608</v>
      </c>
      <c r="F32">
        <v>85</v>
      </c>
      <c r="G32">
        <v>35</v>
      </c>
      <c r="H32" s="3">
        <v>1</v>
      </c>
      <c r="I32">
        <v>11</v>
      </c>
      <c r="J32" s="7">
        <v>20</v>
      </c>
      <c r="K32" s="3">
        <v>4.18</v>
      </c>
      <c r="L32" s="3">
        <v>7</v>
      </c>
      <c r="M32" s="3">
        <v>7</v>
      </c>
      <c r="N32" s="3">
        <v>3</v>
      </c>
      <c r="O32" s="3">
        <v>6</v>
      </c>
    </row>
    <row r="33" spans="1:15">
      <c r="A33" s="3">
        <v>32</v>
      </c>
      <c r="B33" s="3" t="s">
        <v>62</v>
      </c>
      <c r="C33" s="3" t="s">
        <v>63</v>
      </c>
      <c r="D33">
        <v>34</v>
      </c>
      <c r="E33">
        <v>480</v>
      </c>
      <c r="F33">
        <v>67</v>
      </c>
      <c r="G33">
        <v>53</v>
      </c>
      <c r="H33" s="3">
        <v>5</v>
      </c>
      <c r="I33">
        <v>11</v>
      </c>
      <c r="J33" s="7">
        <v>14.27</v>
      </c>
      <c r="K33" s="3">
        <v>2.38</v>
      </c>
      <c r="L33" s="3">
        <v>6</v>
      </c>
      <c r="M33" s="3">
        <v>3</v>
      </c>
      <c r="N33" s="3">
        <v>6</v>
      </c>
      <c r="O33" s="3">
        <v>1</v>
      </c>
    </row>
    <row r="34" spans="1:15">
      <c r="A34" s="3">
        <v>33</v>
      </c>
      <c r="B34" s="3" t="s">
        <v>64</v>
      </c>
      <c r="C34" s="3" t="s">
        <v>65</v>
      </c>
      <c r="D34">
        <v>32</v>
      </c>
      <c r="E34">
        <v>444</v>
      </c>
      <c r="F34">
        <v>62</v>
      </c>
      <c r="G34">
        <v>58</v>
      </c>
      <c r="H34" s="3">
        <v>3</v>
      </c>
      <c r="I34">
        <v>10</v>
      </c>
      <c r="J34" s="7">
        <v>20</v>
      </c>
      <c r="K34" s="3">
        <v>4.22</v>
      </c>
      <c r="L34" s="3">
        <v>6</v>
      </c>
      <c r="M34" s="3">
        <v>4</v>
      </c>
      <c r="N34" s="3">
        <v>5</v>
      </c>
      <c r="O34" s="3">
        <v>7</v>
      </c>
    </row>
    <row r="35" spans="1:15">
      <c r="A35" s="3">
        <v>34</v>
      </c>
      <c r="B35" s="3" t="s">
        <v>66</v>
      </c>
      <c r="C35" s="3" t="s">
        <v>67</v>
      </c>
      <c r="D35">
        <v>46</v>
      </c>
      <c r="E35">
        <v>608</v>
      </c>
      <c r="F35">
        <v>85</v>
      </c>
      <c r="G35">
        <v>35</v>
      </c>
      <c r="H35" s="3">
        <v>3</v>
      </c>
      <c r="I35">
        <v>9</v>
      </c>
      <c r="J35" s="7">
        <v>20</v>
      </c>
      <c r="K35" s="3">
        <v>3.78</v>
      </c>
      <c r="L35" s="3">
        <v>6</v>
      </c>
      <c r="M35" s="3">
        <v>8</v>
      </c>
      <c r="N35" s="3">
        <v>3</v>
      </c>
      <c r="O35" s="3">
        <v>7</v>
      </c>
    </row>
    <row r="36" spans="1:15">
      <c r="A36" s="3">
        <v>35</v>
      </c>
      <c r="B36" s="3" t="s">
        <v>74</v>
      </c>
      <c r="C36" s="3" t="s">
        <v>88</v>
      </c>
      <c r="D36">
        <v>39</v>
      </c>
      <c r="E36">
        <v>525</v>
      </c>
      <c r="F36">
        <v>73</v>
      </c>
      <c r="G36">
        <v>47</v>
      </c>
      <c r="H36" s="3">
        <v>3</v>
      </c>
      <c r="I36">
        <v>10</v>
      </c>
      <c r="J36" s="7">
        <v>20</v>
      </c>
      <c r="K36" s="3">
        <v>3.97</v>
      </c>
      <c r="L36" s="3">
        <v>7</v>
      </c>
      <c r="M36" s="3">
        <v>8</v>
      </c>
      <c r="N36" s="3">
        <v>4</v>
      </c>
      <c r="O36" s="3">
        <v>2</v>
      </c>
    </row>
    <row r="37" spans="1:15">
      <c r="A37" s="3">
        <v>36</v>
      </c>
      <c r="B37" s="3" t="s">
        <v>70</v>
      </c>
      <c r="C37" s="3" t="s">
        <v>89</v>
      </c>
      <c r="D37">
        <v>53</v>
      </c>
      <c r="E37">
        <v>690</v>
      </c>
      <c r="F37">
        <v>68</v>
      </c>
      <c r="G37">
        <v>52</v>
      </c>
      <c r="H37" s="3">
        <v>5</v>
      </c>
      <c r="I37">
        <v>12</v>
      </c>
      <c r="J37" s="7">
        <v>13.51</v>
      </c>
      <c r="K37" s="3">
        <v>3.78</v>
      </c>
      <c r="L37" s="3">
        <v>8</v>
      </c>
      <c r="M37" s="3">
        <v>4</v>
      </c>
      <c r="N37" s="3">
        <v>4</v>
      </c>
      <c r="O37" s="3">
        <v>5</v>
      </c>
    </row>
    <row r="38" spans="1:15">
      <c r="A38" s="3">
        <v>37</v>
      </c>
      <c r="B38" s="3" t="s">
        <v>71</v>
      </c>
      <c r="C38" s="3" t="s">
        <v>91</v>
      </c>
      <c r="D38">
        <v>46</v>
      </c>
      <c r="E38">
        <v>662</v>
      </c>
      <c r="F38">
        <v>65</v>
      </c>
      <c r="G38">
        <v>55</v>
      </c>
      <c r="H38" s="3">
        <v>1</v>
      </c>
      <c r="I38">
        <v>15</v>
      </c>
      <c r="J38" s="7">
        <v>14.23</v>
      </c>
      <c r="K38" s="3">
        <v>3.6</v>
      </c>
      <c r="L38" s="3">
        <v>8</v>
      </c>
      <c r="M38" s="3">
        <v>3</v>
      </c>
      <c r="N38" s="3">
        <v>5</v>
      </c>
      <c r="O38" s="3">
        <v>11</v>
      </c>
    </row>
    <row r="39" spans="1:15">
      <c r="A39" s="3">
        <v>38</v>
      </c>
      <c r="B39" s="3" t="s">
        <v>72</v>
      </c>
      <c r="C39" s="3" t="s">
        <v>93</v>
      </c>
      <c r="D39">
        <v>76</v>
      </c>
      <c r="E39">
        <v>1080</v>
      </c>
      <c r="F39">
        <v>106</v>
      </c>
      <c r="G39">
        <v>14</v>
      </c>
      <c r="H39" s="3">
        <v>5</v>
      </c>
      <c r="I39">
        <v>14</v>
      </c>
      <c r="J39" s="7">
        <v>18.690000000000001</v>
      </c>
      <c r="K39" s="3">
        <v>4.32</v>
      </c>
      <c r="L39" s="3">
        <v>7</v>
      </c>
      <c r="M39" s="3">
        <v>15</v>
      </c>
      <c r="N39" s="3">
        <v>4</v>
      </c>
      <c r="O39" s="3">
        <v>5</v>
      </c>
    </row>
    <row r="40" spans="1:15">
      <c r="A40" s="3">
        <v>39</v>
      </c>
      <c r="B40" s="3" t="s">
        <v>73</v>
      </c>
      <c r="C40" s="3" t="s">
        <v>94</v>
      </c>
      <c r="D40">
        <v>66</v>
      </c>
      <c r="E40">
        <v>896</v>
      </c>
      <c r="F40">
        <v>88</v>
      </c>
      <c r="G40">
        <v>32</v>
      </c>
      <c r="H40" s="3">
        <v>5</v>
      </c>
      <c r="I40">
        <v>15</v>
      </c>
      <c r="J40" s="7">
        <v>17.71</v>
      </c>
      <c r="K40" s="3">
        <v>3.77</v>
      </c>
      <c r="L40" s="3">
        <v>15</v>
      </c>
      <c r="M40" s="3">
        <v>7</v>
      </c>
      <c r="N40" s="3">
        <v>8</v>
      </c>
      <c r="O40" s="3">
        <v>12</v>
      </c>
    </row>
    <row r="41" spans="1:15">
      <c r="A41" s="3">
        <v>40</v>
      </c>
      <c r="B41" s="3" t="s">
        <v>75</v>
      </c>
      <c r="C41" s="3" t="s">
        <v>95</v>
      </c>
      <c r="D41">
        <v>76</v>
      </c>
      <c r="E41">
        <v>1174</v>
      </c>
      <c r="F41">
        <v>112</v>
      </c>
      <c r="G41">
        <v>8</v>
      </c>
      <c r="H41" s="3">
        <v>3</v>
      </c>
      <c r="I41">
        <v>12</v>
      </c>
      <c r="J41" s="7">
        <v>20</v>
      </c>
      <c r="K41" s="3">
        <v>3.77</v>
      </c>
      <c r="L41" s="3">
        <v>7</v>
      </c>
      <c r="M41" s="3">
        <v>7</v>
      </c>
      <c r="N41" s="3">
        <v>7</v>
      </c>
      <c r="O41" s="3">
        <v>1</v>
      </c>
    </row>
    <row r="42" spans="1:15">
      <c r="A42" s="3">
        <v>41</v>
      </c>
      <c r="B42" s="3" t="s">
        <v>76</v>
      </c>
      <c r="C42" s="3" t="s">
        <v>96</v>
      </c>
      <c r="D42">
        <v>73</v>
      </c>
      <c r="E42">
        <v>1066</v>
      </c>
      <c r="F42">
        <v>105</v>
      </c>
      <c r="G42">
        <v>15</v>
      </c>
      <c r="H42" s="3">
        <v>2</v>
      </c>
      <c r="I42">
        <v>12</v>
      </c>
      <c r="J42" s="7">
        <v>19.940000000000001</v>
      </c>
      <c r="K42" s="3">
        <v>4.66</v>
      </c>
      <c r="L42" s="3">
        <v>18</v>
      </c>
      <c r="M42" s="3">
        <v>20</v>
      </c>
      <c r="N42" s="3">
        <v>3</v>
      </c>
      <c r="O42" s="3">
        <v>5</v>
      </c>
    </row>
    <row r="43" spans="1:15">
      <c r="A43" s="3">
        <v>42</v>
      </c>
      <c r="B43" s="3" t="s">
        <v>77</v>
      </c>
      <c r="C43" s="3" t="s">
        <v>97</v>
      </c>
      <c r="D43">
        <v>76</v>
      </c>
      <c r="E43">
        <v>1066</v>
      </c>
      <c r="F43">
        <v>105</v>
      </c>
      <c r="G43">
        <v>15</v>
      </c>
      <c r="H43" s="3">
        <v>1</v>
      </c>
      <c r="I43">
        <v>15</v>
      </c>
      <c r="J43" s="7">
        <v>13.94</v>
      </c>
      <c r="K43" s="3">
        <v>3.62</v>
      </c>
      <c r="L43" s="3">
        <v>15</v>
      </c>
      <c r="M43" s="3">
        <v>16</v>
      </c>
      <c r="N43" s="3">
        <v>5</v>
      </c>
      <c r="O43" s="3">
        <v>11</v>
      </c>
    </row>
    <row r="44" spans="1:15">
      <c r="A44" s="3">
        <v>43</v>
      </c>
      <c r="B44" s="3" t="s">
        <v>78</v>
      </c>
      <c r="C44" s="3" t="s">
        <v>98</v>
      </c>
      <c r="D44">
        <v>66</v>
      </c>
      <c r="E44">
        <v>923</v>
      </c>
      <c r="F44">
        <v>91</v>
      </c>
      <c r="G44">
        <v>29</v>
      </c>
      <c r="H44" s="3">
        <v>3</v>
      </c>
      <c r="I44">
        <v>12</v>
      </c>
      <c r="J44" s="7">
        <v>12</v>
      </c>
      <c r="K44" s="3">
        <v>2.71</v>
      </c>
      <c r="L44" s="3">
        <v>7</v>
      </c>
      <c r="M44" s="3">
        <v>11</v>
      </c>
      <c r="N44" s="3">
        <v>3</v>
      </c>
      <c r="O44" s="3">
        <v>11</v>
      </c>
    </row>
    <row r="45" spans="1:15">
      <c r="A45" s="3">
        <v>44</v>
      </c>
      <c r="B45" s="3" t="s">
        <v>79</v>
      </c>
      <c r="C45" s="3" t="s">
        <v>99</v>
      </c>
      <c r="D45">
        <v>45</v>
      </c>
      <c r="E45">
        <v>624</v>
      </c>
      <c r="F45">
        <v>61</v>
      </c>
      <c r="G45">
        <v>59</v>
      </c>
      <c r="H45" s="3">
        <v>2</v>
      </c>
      <c r="I45">
        <v>15</v>
      </c>
      <c r="J45" s="7">
        <v>16.12</v>
      </c>
      <c r="K45" s="3">
        <v>4.05</v>
      </c>
      <c r="L45" s="3">
        <v>5</v>
      </c>
      <c r="M45" s="3">
        <v>7</v>
      </c>
      <c r="N45" s="3">
        <v>4</v>
      </c>
      <c r="O45" s="3">
        <v>7</v>
      </c>
    </row>
    <row r="46" spans="1:15">
      <c r="A46" s="3">
        <v>45</v>
      </c>
      <c r="B46" s="3" t="s">
        <v>80</v>
      </c>
      <c r="C46" s="3" t="s">
        <v>100</v>
      </c>
      <c r="D46">
        <v>76</v>
      </c>
      <c r="E46">
        <v>1094</v>
      </c>
      <c r="F46">
        <v>108</v>
      </c>
      <c r="G46">
        <v>12</v>
      </c>
      <c r="H46" s="3">
        <v>2</v>
      </c>
      <c r="I46">
        <v>14</v>
      </c>
      <c r="J46" s="7">
        <v>15.86</v>
      </c>
      <c r="K46" s="3">
        <v>3.63</v>
      </c>
      <c r="L46" s="3">
        <v>19</v>
      </c>
      <c r="M46" s="3">
        <v>5</v>
      </c>
      <c r="N46" s="3">
        <v>1</v>
      </c>
      <c r="O46" s="3">
        <v>1</v>
      </c>
    </row>
    <row r="47" spans="1:15">
      <c r="A47" s="3">
        <v>46</v>
      </c>
      <c r="B47" s="3" t="s">
        <v>81</v>
      </c>
      <c r="C47" s="3" t="s">
        <v>101</v>
      </c>
      <c r="D47">
        <v>55</v>
      </c>
      <c r="E47">
        <v>709</v>
      </c>
      <c r="F47">
        <v>70</v>
      </c>
      <c r="G47">
        <v>50</v>
      </c>
      <c r="H47" s="3">
        <v>4</v>
      </c>
      <c r="I47">
        <v>15</v>
      </c>
      <c r="J47" s="7">
        <v>20</v>
      </c>
      <c r="K47" s="3">
        <v>4.1900000000000004</v>
      </c>
      <c r="L47" s="3">
        <v>11</v>
      </c>
      <c r="M47" s="3">
        <v>7</v>
      </c>
      <c r="N47" s="3">
        <v>4</v>
      </c>
      <c r="O47" s="3">
        <v>1</v>
      </c>
    </row>
    <row r="48" spans="1:15">
      <c r="A48" s="3">
        <v>47</v>
      </c>
      <c r="B48" s="3" t="s">
        <v>82</v>
      </c>
      <c r="C48" s="3" t="s">
        <v>102</v>
      </c>
      <c r="D48">
        <v>76</v>
      </c>
      <c r="E48">
        <v>1202</v>
      </c>
      <c r="F48">
        <v>112</v>
      </c>
      <c r="G48">
        <v>8</v>
      </c>
      <c r="H48" s="3">
        <v>1</v>
      </c>
      <c r="I48">
        <v>14</v>
      </c>
      <c r="J48" s="7">
        <v>20</v>
      </c>
      <c r="K48" s="3">
        <v>4.8</v>
      </c>
      <c r="L48" s="3">
        <v>22</v>
      </c>
      <c r="M48" s="3">
        <v>15</v>
      </c>
      <c r="N48" s="3">
        <v>5</v>
      </c>
      <c r="O48" s="3">
        <v>1</v>
      </c>
    </row>
    <row r="49" spans="1:15">
      <c r="A49" s="3">
        <v>48</v>
      </c>
      <c r="B49" s="3" t="s">
        <v>83</v>
      </c>
      <c r="C49" s="3" t="s">
        <v>103</v>
      </c>
      <c r="D49">
        <v>37</v>
      </c>
      <c r="E49">
        <v>536</v>
      </c>
      <c r="F49">
        <v>82</v>
      </c>
      <c r="G49">
        <v>38</v>
      </c>
      <c r="H49" s="3">
        <v>2</v>
      </c>
      <c r="I49">
        <v>11</v>
      </c>
      <c r="J49" s="7">
        <v>20</v>
      </c>
      <c r="K49" s="3">
        <v>3.94</v>
      </c>
      <c r="L49" s="3">
        <v>7</v>
      </c>
      <c r="M49" s="3">
        <v>7</v>
      </c>
      <c r="N49" s="3">
        <v>3</v>
      </c>
      <c r="O49" s="3">
        <v>4</v>
      </c>
    </row>
    <row r="50" spans="1:15">
      <c r="A50" s="3">
        <v>49</v>
      </c>
      <c r="B50" s="3" t="s">
        <v>84</v>
      </c>
      <c r="C50" s="3" t="s">
        <v>104</v>
      </c>
      <c r="D50">
        <v>62</v>
      </c>
      <c r="E50">
        <v>875</v>
      </c>
      <c r="F50">
        <v>86</v>
      </c>
      <c r="G50">
        <v>34</v>
      </c>
      <c r="H50" s="3">
        <v>3</v>
      </c>
      <c r="I50">
        <v>12</v>
      </c>
      <c r="J50" s="7">
        <v>17.95</v>
      </c>
      <c r="K50" s="3">
        <v>4.13</v>
      </c>
      <c r="L50" s="3">
        <v>16</v>
      </c>
      <c r="M50" s="3">
        <v>5</v>
      </c>
      <c r="N50" s="3">
        <v>12</v>
      </c>
      <c r="O50" s="3">
        <v>1</v>
      </c>
    </row>
    <row r="51" spans="1:15">
      <c r="A51" s="3">
        <v>50</v>
      </c>
      <c r="B51" s="3" t="s">
        <v>85</v>
      </c>
      <c r="C51" s="3" t="s">
        <v>92</v>
      </c>
      <c r="D51">
        <v>49</v>
      </c>
      <c r="E51">
        <v>680</v>
      </c>
      <c r="F51">
        <v>67</v>
      </c>
      <c r="G51">
        <v>53</v>
      </c>
      <c r="H51" s="3">
        <v>4</v>
      </c>
      <c r="I51">
        <v>15</v>
      </c>
      <c r="J51" s="7">
        <v>19.18</v>
      </c>
      <c r="K51" s="3">
        <v>3.37</v>
      </c>
      <c r="L51" s="3">
        <v>7</v>
      </c>
      <c r="M51" s="3">
        <v>8</v>
      </c>
      <c r="N51" s="3">
        <v>9</v>
      </c>
      <c r="O51" s="3">
        <v>4</v>
      </c>
    </row>
    <row r="52" spans="1:15">
      <c r="A52" s="3">
        <v>51</v>
      </c>
      <c r="B52" s="3" t="s">
        <v>86</v>
      </c>
      <c r="C52" s="3" t="s">
        <v>105</v>
      </c>
      <c r="D52">
        <v>70</v>
      </c>
      <c r="E52">
        <v>1033</v>
      </c>
      <c r="F52">
        <v>102</v>
      </c>
      <c r="G52">
        <v>18</v>
      </c>
      <c r="H52" s="3">
        <v>1</v>
      </c>
      <c r="I52">
        <v>12</v>
      </c>
      <c r="J52" s="7">
        <v>20</v>
      </c>
      <c r="K52" s="3">
        <v>4.7699999999999996</v>
      </c>
      <c r="L52" s="3">
        <v>9</v>
      </c>
      <c r="M52" s="3">
        <v>15</v>
      </c>
      <c r="N52" s="3">
        <v>1</v>
      </c>
      <c r="O52" s="3">
        <v>11</v>
      </c>
    </row>
    <row r="53" spans="1:15">
      <c r="A53" s="3">
        <v>52</v>
      </c>
      <c r="B53" s="3" t="s">
        <v>87</v>
      </c>
      <c r="C53" s="3" t="s">
        <v>106</v>
      </c>
      <c r="D53">
        <v>73</v>
      </c>
      <c r="E53">
        <v>1040</v>
      </c>
      <c r="F53">
        <v>102</v>
      </c>
      <c r="G53">
        <v>18</v>
      </c>
      <c r="H53" s="3">
        <v>5</v>
      </c>
      <c r="I53">
        <v>15</v>
      </c>
      <c r="J53" s="7">
        <v>20</v>
      </c>
      <c r="K53" s="3">
        <v>4.9000000000000004</v>
      </c>
      <c r="L53" s="3">
        <v>14</v>
      </c>
      <c r="M53" s="3">
        <v>7</v>
      </c>
      <c r="N53" s="3">
        <v>8</v>
      </c>
      <c r="O53" s="3">
        <v>5</v>
      </c>
    </row>
    <row r="58" spans="1:15">
      <c r="C58" s="10"/>
    </row>
    <row r="60" spans="1:15">
      <c r="C60" s="10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D177-2D7D-4C5B-A404-A763C67F30D1}">
  <dimension ref="A1:O8"/>
  <sheetViews>
    <sheetView rightToLeft="1" workbookViewId="0">
      <pane ySplit="1" topLeftCell="A2" activePane="bottomLeft" state="frozen"/>
      <selection pane="bottomLeft" activeCell="M1" sqref="M1"/>
    </sheetView>
  </sheetViews>
  <sheetFormatPr defaultColWidth="7" defaultRowHeight="13.8"/>
  <cols>
    <col min="1" max="1" width="8.69921875" bestFit="1" customWidth="1"/>
    <col min="2" max="2" width="6.09765625" style="3" customWidth="1"/>
    <col min="3" max="3" width="9.19921875" customWidth="1"/>
    <col min="4" max="4" width="8.796875" customWidth="1"/>
    <col min="5" max="5" width="8.69921875" customWidth="1"/>
    <col min="6" max="6" width="11" customWidth="1"/>
    <col min="7" max="7" width="7.69921875" customWidth="1"/>
    <col min="8" max="8" width="6.69921875" customWidth="1"/>
    <col min="9" max="9" width="7" customWidth="1"/>
    <col min="10" max="10" width="10.8984375" customWidth="1"/>
    <col min="11" max="11" width="10.296875" customWidth="1"/>
    <col min="12" max="12" width="10.59765625" customWidth="1"/>
    <col min="13" max="13" width="9.8984375" customWidth="1"/>
    <col min="14" max="14" width="8.69921875" bestFit="1" customWidth="1"/>
    <col min="15" max="15" width="9" bestFit="1" customWidth="1"/>
  </cols>
  <sheetData>
    <row r="1" spans="1:15" s="1" customFormat="1" ht="69.599999999999994" thickBot="1">
      <c r="A1" s="4" t="s">
        <v>125</v>
      </c>
      <c r="B1" s="5" t="s">
        <v>107</v>
      </c>
      <c r="C1" s="5" t="s">
        <v>108</v>
      </c>
      <c r="D1" s="5" t="s">
        <v>109</v>
      </c>
      <c r="E1" s="5" t="s">
        <v>116</v>
      </c>
      <c r="F1" s="5" t="s">
        <v>115</v>
      </c>
      <c r="G1" s="5" t="s">
        <v>110</v>
      </c>
      <c r="H1" s="5" t="s">
        <v>117</v>
      </c>
      <c r="I1" s="5" t="s">
        <v>118</v>
      </c>
      <c r="J1" s="5" t="s">
        <v>111</v>
      </c>
      <c r="K1" s="5" t="s">
        <v>112</v>
      </c>
      <c r="L1" s="5" t="s">
        <v>114</v>
      </c>
      <c r="M1" s="6" t="s">
        <v>113</v>
      </c>
      <c r="O1" s="2"/>
    </row>
    <row r="2" spans="1:15">
      <c r="A2" t="s">
        <v>120</v>
      </c>
      <c r="B2" s="8">
        <f>AVERAGE(טבלה1[כמות פ״מים])</f>
        <v>53.846153846153847</v>
      </c>
      <c r="C2" s="8">
        <f>AVERAGE(טבלה1[כמות שיבוצים])</f>
        <v>757.13461538461536</v>
      </c>
      <c r="D2" s="8">
        <f>AVERAGE(טבלה1[כמות אנשי צוות ששובצו])</f>
        <v>85.480769230769226</v>
      </c>
      <c r="E2" s="8">
        <f>AVERAGE(טבלה1[כמות אנשי צוות שלא שובצו בכלל])</f>
        <v>34.519230769230766</v>
      </c>
      <c r="F2" s="8">
        <f>AVERAGE(טבלה1[מינימום משימות לאיש צוות (ששובצו)])</f>
        <v>2.8076923076923075</v>
      </c>
      <c r="G2" s="8">
        <f>AVERAGE(טבלה1[מקס משימות לאיש צוות])</f>
        <v>12.307692307692308</v>
      </c>
      <c r="H2" s="8">
        <f>AVERAGE(טבלה1[זמן ממוצע של פ״מ])</f>
        <v>18.69019230769231</v>
      </c>
      <c r="I2" s="8">
        <f>AVERAGE(טבלה1[[משך ממוצע לפיריט ]])</f>
        <v>4.0438461538461548</v>
      </c>
      <c r="J2" s="8">
        <f>AVERAGE(טבלה1[כמות שיבוצים שגויים (כשירות)])</f>
        <v>9.7692307692307701</v>
      </c>
      <c r="K2" s="8">
        <f>AVERAGE(טבלה1[כמות שיבוצים שגויים (זמינות)])</f>
        <v>8.9038461538461533</v>
      </c>
      <c r="L2" s="8">
        <f>AVERAGE(טבלה1[כמות שינוי שיבוץ שנבעו מבלת"מ])</f>
        <v>4.4807692307692308</v>
      </c>
      <c r="M2" s="8">
        <f>AVERAGE(טבלה1[כמות שיבוצים שחרגו משעות מנוחה])</f>
        <v>5.384615384615385</v>
      </c>
    </row>
    <row r="3" spans="1:15">
      <c r="A3" t="s">
        <v>121</v>
      </c>
      <c r="B3" s="8">
        <f>_xlfn.STDEV.P(טבלה1[כמות פ״מים])</f>
        <v>12.62534784804061</v>
      </c>
      <c r="C3" s="8">
        <f>_xlfn.STDEV.P(טבלה1[כמות שיבוצים])</f>
        <v>196.69363417470345</v>
      </c>
      <c r="D3" s="8">
        <f>_xlfn.STDEV.P(טבלה1[כמות אנשי צוות ששובצו])</f>
        <v>17.022033667500331</v>
      </c>
      <c r="E3" s="8">
        <f>_xlfn.STDEV.P(טבלה1[כמות אנשי צוות שלא שובצו בכלל])</f>
        <v>17.022033667500331</v>
      </c>
      <c r="F3" s="8">
        <f>_xlfn.STDEV.P(טבלה1[מינימום משימות לאיש צוות (ששובצו)])</f>
        <v>1.4282649713559339</v>
      </c>
      <c r="G3" s="8">
        <f>_xlfn.STDEV.P(טבלה1[מקס משימות לאיש צוות])</f>
        <v>1.6817854699288803</v>
      </c>
      <c r="H3" s="8">
        <f>_xlfn.STDEV.P(טבלה1[זמן ממוצע של פ״מ])</f>
        <v>2.1834099040655155</v>
      </c>
      <c r="I3" s="8">
        <f>_xlfn.STDEV.P(טבלה1[[משך ממוצע לפיריט ]])</f>
        <v>0.60688724667561478</v>
      </c>
      <c r="J3" s="8">
        <f>_xlfn.STDEV.P(טבלה1[כמות שיבוצים שגויים (כשירות)])</f>
        <v>4.427255551238976</v>
      </c>
      <c r="K3" s="8">
        <f>_xlfn.STDEV.P(טבלה1[כמות שיבוצים שגויים (זמינות)])</f>
        <v>3.7068523625671719</v>
      </c>
      <c r="L3" s="8">
        <f>_xlfn.STDEV.P(טבלה1[כמות שינוי שיבוץ שנבעו מבלת"מ])</f>
        <v>2.3327961483641224</v>
      </c>
      <c r="M3" s="8">
        <f>_xlfn.STDEV.P(טבלה1[כמות שיבוצים שחרגו משעות מנוחה])</f>
        <v>3.2114808838689388</v>
      </c>
    </row>
    <row r="4" spans="1:15">
      <c r="A4" t="s">
        <v>122</v>
      </c>
      <c r="B4" s="3">
        <f>MIN(טבלה1[כמות פ״מים])</f>
        <v>32</v>
      </c>
      <c r="C4" s="3">
        <f>MIN(טבלה1[כמות שיבוצים])</f>
        <v>444</v>
      </c>
      <c r="D4" s="3">
        <f>MIN(טבלה1[כמות אנשי צוות ששובצו])</f>
        <v>52</v>
      </c>
      <c r="E4" s="3">
        <f>MIN(טבלה1[כמות אנשי צוות שלא שובצו בכלל])</f>
        <v>8</v>
      </c>
      <c r="F4" s="3">
        <f>MIN(טבלה1[מינימום משימות לאיש צוות (ששובצו)])</f>
        <v>1</v>
      </c>
      <c r="G4" s="3">
        <f>MIN(טבלה1[מקס משימות לאיש צוות])</f>
        <v>9</v>
      </c>
      <c r="H4" s="3">
        <f>MIN(טבלה1[זמן ממוצע של פ״מ])</f>
        <v>12</v>
      </c>
      <c r="I4" s="3">
        <f>MIN(טבלה1[[משך ממוצע לפיריט ]])</f>
        <v>2.38</v>
      </c>
      <c r="J4" s="3">
        <f>MIN(טבלה1[כמות שיבוצים שגויים (כשירות)])</f>
        <v>2</v>
      </c>
      <c r="K4" s="3">
        <f>MIN(טבלה1[כמות שיבוצים שגויים (זמינות)])</f>
        <v>3</v>
      </c>
      <c r="L4" s="3">
        <f>MIN(טבלה1[כמות שינוי שיבוץ שנבעו מבלת"מ])</f>
        <v>1</v>
      </c>
      <c r="M4" s="3">
        <f>MIN(טבלה1[כמות שיבוצים שחרגו משעות מנוחה])</f>
        <v>1</v>
      </c>
    </row>
    <row r="5" spans="1:15">
      <c r="A5" s="10">
        <v>0.25</v>
      </c>
      <c r="B5" s="3">
        <f>_xlfn.PERCENTILE.INC(טבלה1[כמות פ״מים],0.25)</f>
        <v>43.75</v>
      </c>
      <c r="C5" s="3">
        <f>_xlfn.PERCENTILE.INC(טבלה1[כמות שיבוצים],0.25)</f>
        <v>606</v>
      </c>
      <c r="D5" s="3">
        <f>_xlfn.PERCENTILE.INC(טבלה1[כמות אנשי צוות ששובצו],0.25)</f>
        <v>71.5</v>
      </c>
      <c r="E5" s="3">
        <f>_xlfn.PERCENTILE.INC(טבלה1[כמות אנשי צוות שלא שובצו בכלל],0.25)</f>
        <v>17.75</v>
      </c>
      <c r="F5" s="3">
        <f>_xlfn.PERCENTILE.INC(טבלה1[מינימום משימות לאיש צוות (ששובצו)],0.25)</f>
        <v>1</v>
      </c>
      <c r="G5" s="3">
        <f>_xlfn.PERCENTILE.INC(טבלה1[מקס משימות לאיש צוות],0.25)</f>
        <v>11</v>
      </c>
      <c r="H5" s="3">
        <f>_xlfn.PERCENTILE.INC(טבלה1[זמן ממוצע של פ״מ],0.25)</f>
        <v>17.89</v>
      </c>
      <c r="I5" s="3">
        <f>_xlfn.PERCENTILE.INC(טבלה1[[משך ממוצע לפיריט ]],0.25)</f>
        <v>3.7374999999999998</v>
      </c>
      <c r="J5" s="3">
        <f>_xlfn.PERCENTILE.INC(טבלה1[כמות שיבוצים שגויים (כשירות)],0.25)</f>
        <v>6</v>
      </c>
      <c r="K5" s="3">
        <f>_xlfn.PERCENTILE.INC(טבלה1[כמות שיבוצים שגויים (זמינות)],0.25)</f>
        <v>6.75</v>
      </c>
      <c r="L5" s="3">
        <f>_xlfn.PERCENTILE.INC(טבלה1[כמות שינוי שיבוץ שנבעו מבלת"מ],0.25)</f>
        <v>3</v>
      </c>
      <c r="M5" s="3">
        <f>_xlfn.PERCENTILE.INC(טבלה1[כמות שיבוצים שחרגו משעות מנוחה],0.25)</f>
        <v>3</v>
      </c>
    </row>
    <row r="6" spans="1:15">
      <c r="A6" t="s">
        <v>124</v>
      </c>
      <c r="B6" s="3">
        <f>MEDIAN(טבלה1[כמות פ״מים])</f>
        <v>53</v>
      </c>
      <c r="C6" s="3">
        <f>MEDIAN(טבלה1[כמות שיבוצים])</f>
        <v>715.5</v>
      </c>
      <c r="D6" s="3">
        <f>MEDIAN(טבלה1[כמות אנשי צוות ששובצו])</f>
        <v>84.5</v>
      </c>
      <c r="E6" s="3">
        <f>MEDIAN(טבלה1[כמות אנשי צוות שלא שובצו בכלל])</f>
        <v>35.5</v>
      </c>
      <c r="F6" s="3">
        <f>MEDIAN(טבלה1[מינימום משימות לאיש צוות (ששובצו)])</f>
        <v>3</v>
      </c>
      <c r="G6" s="3">
        <f>MEDIAN(טבלה1[מקס משימות לאיש צוות])</f>
        <v>12</v>
      </c>
      <c r="H6" s="3">
        <f>MEDIAN(טבלה1[זמן ממוצע של פ״מ])</f>
        <v>20</v>
      </c>
      <c r="I6" s="3">
        <f>MEDIAN(טבלה1[[משך ממוצע לפיריט ]])</f>
        <v>4.1050000000000004</v>
      </c>
      <c r="J6" s="3">
        <f>MEDIAN(טבלה1[כמות שיבוצים שגויים (כשירות)])</f>
        <v>8</v>
      </c>
      <c r="K6" s="3">
        <f>MEDIAN(טבלה1[כמות שיבוצים שגויים (זמינות)])</f>
        <v>8</v>
      </c>
      <c r="L6" s="3">
        <f>MEDIAN(טבלה1[כמות שינוי שיבוץ שנבעו מבלת"מ])</f>
        <v>4</v>
      </c>
      <c r="M6" s="3">
        <f>MEDIAN(טבלה1[כמות שיבוצים שחרגו משעות מנוחה])</f>
        <v>5</v>
      </c>
    </row>
    <row r="7" spans="1:15">
      <c r="A7" s="10">
        <v>0.75</v>
      </c>
      <c r="B7" s="3">
        <f>_xlfn.PERCENTILE.INC(טבלה1[כמות פ״מים],0.75)</f>
        <v>62.75</v>
      </c>
      <c r="C7" s="3">
        <f>_xlfn.PERCENTILE.INC(טבלה1[כמות שיבוצים],0.75)</f>
        <v>902.75</v>
      </c>
      <c r="D7" s="3">
        <f>_xlfn.PERCENTILE.INC(טבלה1[כמות אנשי צוות ששובצו],0.75)</f>
        <v>102.25</v>
      </c>
      <c r="E7" s="3">
        <f>_xlfn.PERCENTILE.INC(טבלה1[כמות אנשי צוות שלא שובצו בכלל],0.75)</f>
        <v>48.5</v>
      </c>
      <c r="F7" s="3">
        <f>_xlfn.PERCENTILE.INC(טבלה1[מינימום משימות לאיש צוות (ששובצו)],0.75)</f>
        <v>4</v>
      </c>
      <c r="G7" s="3">
        <f>_xlfn.PERCENTILE.INC(טבלה1[מקס משימות לאיש צוות],0.75)</f>
        <v>14</v>
      </c>
      <c r="H7" s="3">
        <f>_xlfn.PERCENTILE.INC(טבלה1[זמן ממוצע של פ״מ],0.75)</f>
        <v>20</v>
      </c>
      <c r="I7" s="3">
        <f>_xlfn.PERCENTILE.INC(טבלה1[[משך ממוצע לפיריט ]],0.75)</f>
        <v>4.49</v>
      </c>
      <c r="J7" s="3">
        <f>_xlfn.PERCENTILE.INC(טבלה1[כמות שיבוצים שגויים (כשירות)],0.75)</f>
        <v>13</v>
      </c>
      <c r="K7" s="3">
        <f>_xlfn.PERCENTILE.INC(טבלה1[כמות שיבוצים שגויים (זמינות)],0.75)</f>
        <v>11</v>
      </c>
      <c r="L7" s="3">
        <f>_xlfn.PERCENTILE.INC(טבלה1[כמות שינוי שיבוץ שנבעו מבלת"מ],0.75)</f>
        <v>6</v>
      </c>
      <c r="M7" s="3">
        <f>_xlfn.PERCENTILE.INC(טבלה1[כמות שיבוצים שחרגו משעות מנוחה],0.75)</f>
        <v>8</v>
      </c>
    </row>
    <row r="8" spans="1:15">
      <c r="A8" t="s">
        <v>123</v>
      </c>
      <c r="B8" s="3">
        <f>MAX(טבלה1[כמות פ״מים])</f>
        <v>76</v>
      </c>
      <c r="C8" s="3">
        <f>MAX(טבלה1[כמות שיבוצים])</f>
        <v>1202</v>
      </c>
      <c r="D8" s="3">
        <f>MAX(טבלה1[כמות אנשי צוות ששובצו])</f>
        <v>112</v>
      </c>
      <c r="E8" s="3">
        <f>MAX(טבלה1[כמות אנשי צוות שלא שובצו בכלל])</f>
        <v>68</v>
      </c>
      <c r="F8" s="3">
        <f>MAX(טבלה1[מינימום משימות לאיש צוות (ששובצו)])</f>
        <v>5</v>
      </c>
      <c r="G8" s="3">
        <f>MAX(טבלה1[מקס משימות לאיש צוות])</f>
        <v>15</v>
      </c>
      <c r="H8" s="3">
        <f>MAX(טבלה1[זמן ממוצע של פ״מ])</f>
        <v>20</v>
      </c>
      <c r="I8" s="3">
        <f>MAX(טבלה1[[משך ממוצע לפיריט ]])</f>
        <v>4.99</v>
      </c>
      <c r="J8" s="3">
        <f>MAX(טבלה1[כמות שיבוצים שגויים (כשירות)])</f>
        <v>22</v>
      </c>
      <c r="K8" s="3">
        <f>MAX(טבלה1[כמות שיבוצים שגויים (זמינות)])</f>
        <v>20</v>
      </c>
      <c r="L8" s="3">
        <f>MAX(טבלה1[כמות שינוי שיבוץ שנבעו מבלת"מ])</f>
        <v>12</v>
      </c>
      <c r="M8" s="3">
        <f>MAX(טבלה1[כמות שיבוצים שחרגו משעות מנוחה])</f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78EFC-1645-4300-A62B-B3AF0D76943A}">
  <dimension ref="A1:O53"/>
  <sheetViews>
    <sheetView rightToLeft="1" workbookViewId="0">
      <selection activeCell="J9" sqref="J9"/>
    </sheetView>
  </sheetViews>
  <sheetFormatPr defaultColWidth="7" defaultRowHeight="13.8"/>
  <cols>
    <col min="1" max="1" width="5.19921875" customWidth="1"/>
    <col min="2" max="2" width="5.796875" style="3" customWidth="1"/>
    <col min="3" max="3" width="6.796875" customWidth="1"/>
    <col min="4" max="4" width="8.796875" customWidth="1"/>
    <col min="5" max="5" width="8.69921875" customWidth="1"/>
    <col min="6" max="6" width="11" customWidth="1"/>
    <col min="7" max="7" width="7.69921875" customWidth="1"/>
    <col min="8" max="8" width="6.69921875" customWidth="1"/>
    <col min="9" max="9" width="7" customWidth="1"/>
    <col min="10" max="10" width="10.8984375" customWidth="1"/>
    <col min="11" max="11" width="10.296875" customWidth="1"/>
    <col min="12" max="12" width="10.59765625" customWidth="1"/>
    <col min="13" max="13" width="9.8984375" customWidth="1"/>
    <col min="14" max="14" width="8.69921875" bestFit="1" customWidth="1"/>
    <col min="15" max="15" width="9" bestFit="1" customWidth="1"/>
  </cols>
  <sheetData>
    <row r="1" spans="1:15" s="1" customFormat="1" ht="69.599999999999994" thickBot="1">
      <c r="A1" s="9" t="s">
        <v>119</v>
      </c>
      <c r="B1" s="5" t="s">
        <v>107</v>
      </c>
      <c r="C1" s="5" t="s">
        <v>108</v>
      </c>
      <c r="D1" s="5" t="s">
        <v>109</v>
      </c>
      <c r="E1" s="5" t="s">
        <v>116</v>
      </c>
      <c r="F1" s="5" t="s">
        <v>115</v>
      </c>
      <c r="G1" s="5" t="s">
        <v>110</v>
      </c>
      <c r="H1" s="5" t="s">
        <v>117</v>
      </c>
      <c r="I1" s="5" t="s">
        <v>118</v>
      </c>
      <c r="J1" s="5" t="s">
        <v>111</v>
      </c>
      <c r="K1" s="5" t="s">
        <v>112</v>
      </c>
      <c r="L1" s="5" t="s">
        <v>114</v>
      </c>
      <c r="M1" s="6" t="s">
        <v>113</v>
      </c>
      <c r="O1" s="2"/>
    </row>
    <row r="2" spans="1:15">
      <c r="A2" s="3">
        <v>1</v>
      </c>
      <c r="B2">
        <v>46</v>
      </c>
      <c r="C2">
        <v>629</v>
      </c>
      <c r="D2">
        <v>69</v>
      </c>
      <c r="E2">
        <v>52</v>
      </c>
      <c r="F2" s="3">
        <v>3</v>
      </c>
      <c r="G2">
        <v>12</v>
      </c>
      <c r="H2" s="11">
        <v>18.041999999999998</v>
      </c>
      <c r="I2" s="8">
        <v>4.0519999999999996</v>
      </c>
      <c r="J2" s="3">
        <v>8</v>
      </c>
      <c r="K2" s="3">
        <v>9</v>
      </c>
      <c r="L2" s="3">
        <v>4</v>
      </c>
      <c r="M2" s="3">
        <v>6</v>
      </c>
    </row>
    <row r="3" spans="1:15">
      <c r="A3" s="3">
        <v>2</v>
      </c>
      <c r="B3">
        <v>54</v>
      </c>
      <c r="C3">
        <v>742</v>
      </c>
      <c r="D3">
        <v>81</v>
      </c>
      <c r="E3">
        <v>40</v>
      </c>
      <c r="F3" s="3">
        <v>4</v>
      </c>
      <c r="G3">
        <v>14</v>
      </c>
      <c r="H3" s="11">
        <v>19.365000000000002</v>
      </c>
      <c r="I3" s="8">
        <v>4.4550000000000001</v>
      </c>
      <c r="J3" s="3">
        <v>10</v>
      </c>
      <c r="K3" s="3">
        <v>10</v>
      </c>
      <c r="L3" s="3">
        <v>5</v>
      </c>
      <c r="M3" s="3">
        <v>8</v>
      </c>
    </row>
    <row r="4" spans="1:15">
      <c r="A4" s="3">
        <v>3</v>
      </c>
      <c r="B4">
        <v>59</v>
      </c>
      <c r="C4">
        <v>815</v>
      </c>
      <c r="D4">
        <v>89</v>
      </c>
      <c r="E4">
        <v>32</v>
      </c>
      <c r="F4" s="3">
        <v>4</v>
      </c>
      <c r="G4">
        <v>13</v>
      </c>
      <c r="H4" s="11">
        <v>19.357500000000002</v>
      </c>
      <c r="I4" s="3">
        <v>4.0599999999999996</v>
      </c>
      <c r="J4" s="3">
        <v>13</v>
      </c>
      <c r="K4" s="3">
        <v>9</v>
      </c>
      <c r="L4" s="3">
        <v>3</v>
      </c>
      <c r="M4" s="3">
        <v>4</v>
      </c>
    </row>
    <row r="5" spans="1:15">
      <c r="A5" s="3">
        <v>4</v>
      </c>
      <c r="B5">
        <v>56</v>
      </c>
      <c r="C5">
        <v>765</v>
      </c>
      <c r="D5">
        <v>95</v>
      </c>
      <c r="E5">
        <v>25</v>
      </c>
      <c r="F5" s="3">
        <v>3</v>
      </c>
      <c r="G5">
        <v>13</v>
      </c>
      <c r="H5" s="11">
        <v>19.815000000000001</v>
      </c>
      <c r="I5" s="8">
        <v>4.1825000000000001</v>
      </c>
      <c r="J5" s="3">
        <v>10</v>
      </c>
      <c r="K5" s="3">
        <v>10</v>
      </c>
      <c r="L5" s="3">
        <v>5</v>
      </c>
      <c r="M5" s="3">
        <v>7</v>
      </c>
    </row>
    <row r="6" spans="1:15">
      <c r="A6" s="3">
        <v>5</v>
      </c>
      <c r="B6">
        <v>49</v>
      </c>
      <c r="C6">
        <v>677</v>
      </c>
      <c r="D6">
        <v>84</v>
      </c>
      <c r="E6">
        <v>36</v>
      </c>
      <c r="F6" s="3">
        <v>3</v>
      </c>
      <c r="G6">
        <v>12</v>
      </c>
      <c r="H6" s="12">
        <v>19.996000000000002</v>
      </c>
      <c r="I6" s="3">
        <v>4.12</v>
      </c>
      <c r="J6" s="3">
        <v>10</v>
      </c>
      <c r="K6" s="3">
        <v>10</v>
      </c>
      <c r="L6" s="3">
        <v>6</v>
      </c>
      <c r="M6" s="3">
        <v>5</v>
      </c>
    </row>
    <row r="7" spans="1:15">
      <c r="A7" s="3">
        <v>6</v>
      </c>
      <c r="B7">
        <v>53</v>
      </c>
      <c r="C7">
        <v>750</v>
      </c>
      <c r="D7">
        <v>92</v>
      </c>
      <c r="E7">
        <v>28</v>
      </c>
      <c r="F7" s="3">
        <v>2</v>
      </c>
      <c r="G7">
        <v>11</v>
      </c>
      <c r="H7" s="12">
        <v>20</v>
      </c>
      <c r="I7" s="8">
        <v>3.9975000000000001</v>
      </c>
      <c r="J7" s="3">
        <v>10</v>
      </c>
      <c r="K7" s="3">
        <v>10</v>
      </c>
      <c r="L7" s="3">
        <v>7</v>
      </c>
      <c r="M7" s="3">
        <v>5</v>
      </c>
    </row>
    <row r="8" spans="1:15">
      <c r="A8" s="3">
        <v>7</v>
      </c>
      <c r="B8">
        <v>45</v>
      </c>
      <c r="C8">
        <v>631</v>
      </c>
      <c r="D8">
        <v>89</v>
      </c>
      <c r="E8">
        <v>32</v>
      </c>
      <c r="F8" s="3">
        <v>3</v>
      </c>
      <c r="G8">
        <v>11</v>
      </c>
      <c r="H8" s="11">
        <v>18.830000000000002</v>
      </c>
      <c r="I8" s="8">
        <v>4.056</v>
      </c>
      <c r="J8" s="3">
        <v>8</v>
      </c>
      <c r="K8" s="3">
        <v>8</v>
      </c>
      <c r="L8" s="3">
        <v>3</v>
      </c>
      <c r="M8" s="3">
        <v>6</v>
      </c>
    </row>
    <row r="9" spans="1:15">
      <c r="A9" s="3">
        <v>8</v>
      </c>
      <c r="B9">
        <v>38</v>
      </c>
      <c r="C9">
        <v>515</v>
      </c>
      <c r="D9">
        <v>72</v>
      </c>
      <c r="E9">
        <v>49</v>
      </c>
      <c r="F9" s="3">
        <v>4</v>
      </c>
      <c r="G9">
        <v>10</v>
      </c>
      <c r="H9" s="11">
        <v>18.567499999999999</v>
      </c>
      <c r="I9" s="8">
        <v>3.5874999999999999</v>
      </c>
      <c r="J9" s="3">
        <v>7</v>
      </c>
      <c r="K9" s="3">
        <v>6</v>
      </c>
      <c r="L9" s="3">
        <v>5</v>
      </c>
      <c r="M9" s="3">
        <v>5</v>
      </c>
    </row>
    <row r="10" spans="1:15">
      <c r="A10" s="3">
        <v>9</v>
      </c>
      <c r="B10">
        <v>61</v>
      </c>
      <c r="C10">
        <v>832</v>
      </c>
      <c r="D10">
        <v>82</v>
      </c>
      <c r="E10">
        <v>39</v>
      </c>
      <c r="F10" s="3">
        <v>4</v>
      </c>
      <c r="G10">
        <v>14</v>
      </c>
      <c r="H10" s="11">
        <v>16.035000000000004</v>
      </c>
      <c r="I10" s="8">
        <v>3.8674999999999997</v>
      </c>
      <c r="J10" s="3">
        <v>10</v>
      </c>
      <c r="K10" s="3">
        <v>8</v>
      </c>
      <c r="L10" s="3">
        <v>6</v>
      </c>
      <c r="M10" s="3">
        <v>9</v>
      </c>
    </row>
    <row r="11" spans="1:15">
      <c r="A11" s="3">
        <v>10</v>
      </c>
      <c r="B11">
        <v>68</v>
      </c>
      <c r="C11">
        <v>971</v>
      </c>
      <c r="D11">
        <v>95</v>
      </c>
      <c r="E11">
        <v>26</v>
      </c>
      <c r="F11" s="3">
        <v>3</v>
      </c>
      <c r="G11">
        <v>14</v>
      </c>
      <c r="H11" s="11">
        <v>16.399999999999999</v>
      </c>
      <c r="I11" s="8">
        <v>3.7620000000000005</v>
      </c>
      <c r="J11" s="3">
        <v>11</v>
      </c>
      <c r="K11" s="3">
        <v>13</v>
      </c>
      <c r="L11" s="3">
        <v>5</v>
      </c>
      <c r="M11" s="3">
        <v>7</v>
      </c>
    </row>
    <row r="12" spans="1:15">
      <c r="A12" s="3">
        <v>11</v>
      </c>
      <c r="B12">
        <v>61</v>
      </c>
      <c r="C12">
        <v>886</v>
      </c>
      <c r="D12">
        <v>93</v>
      </c>
      <c r="E12">
        <v>27</v>
      </c>
      <c r="F12" s="3">
        <v>3</v>
      </c>
      <c r="G12">
        <v>14</v>
      </c>
      <c r="H12" s="11">
        <v>18.965</v>
      </c>
      <c r="I12" s="3">
        <v>4.1400000000000006</v>
      </c>
      <c r="J12" s="3">
        <v>15</v>
      </c>
      <c r="K12" s="3">
        <v>9</v>
      </c>
      <c r="L12" s="3">
        <v>4</v>
      </c>
      <c r="M12" s="3">
        <v>2</v>
      </c>
    </row>
    <row r="13" spans="1:15">
      <c r="A13" s="3">
        <v>12</v>
      </c>
      <c r="B13">
        <v>64</v>
      </c>
      <c r="C13">
        <v>907</v>
      </c>
      <c r="D13">
        <v>90</v>
      </c>
      <c r="E13">
        <v>31</v>
      </c>
      <c r="F13" s="3">
        <v>4</v>
      </c>
      <c r="G13">
        <v>14</v>
      </c>
      <c r="H13" s="11">
        <v>19.282499999999999</v>
      </c>
      <c r="I13" s="8">
        <v>4.2925000000000004</v>
      </c>
      <c r="J13" s="3">
        <v>12</v>
      </c>
      <c r="K13" s="3">
        <v>9</v>
      </c>
      <c r="L13" s="3">
        <v>8</v>
      </c>
      <c r="M13" s="3">
        <v>6</v>
      </c>
    </row>
    <row r="14" spans="1:15">
      <c r="A14" s="3"/>
      <c r="B14"/>
      <c r="F14" s="3"/>
      <c r="H14" s="7"/>
      <c r="I14" s="3"/>
      <c r="J14" s="3"/>
      <c r="K14" s="3"/>
      <c r="L14" s="3"/>
      <c r="M14" s="3"/>
    </row>
    <row r="15" spans="1:15">
      <c r="A15" s="3"/>
      <c r="B15"/>
      <c r="F15" s="3"/>
      <c r="H15" s="7"/>
      <c r="I15" s="3"/>
      <c r="J15" s="3"/>
      <c r="K15" s="3"/>
      <c r="L15" s="3"/>
      <c r="M15" s="3"/>
    </row>
    <row r="16" spans="1:15">
      <c r="A16" s="3"/>
      <c r="B16"/>
      <c r="F16" s="3"/>
      <c r="H16" s="7"/>
      <c r="I16" s="3"/>
      <c r="J16" s="3"/>
      <c r="K16" s="3"/>
      <c r="L16" s="3"/>
      <c r="M16" s="3"/>
    </row>
    <row r="17" spans="1:13">
      <c r="A17" s="3"/>
      <c r="B17"/>
      <c r="F17" s="3"/>
      <c r="H17" s="7"/>
      <c r="I17" s="3"/>
      <c r="J17" s="3"/>
      <c r="K17" s="3"/>
      <c r="L17" s="3"/>
      <c r="M17" s="3"/>
    </row>
    <row r="18" spans="1:13">
      <c r="A18" s="3"/>
      <c r="B18"/>
      <c r="F18" s="3"/>
      <c r="H18" s="7"/>
      <c r="I18" s="3"/>
      <c r="J18" s="3"/>
      <c r="K18" s="3"/>
      <c r="L18" s="3"/>
      <c r="M18" s="3"/>
    </row>
    <row r="19" spans="1:13">
      <c r="A19" s="3"/>
      <c r="B19"/>
      <c r="F19" s="3"/>
      <c r="H19" s="7"/>
      <c r="I19" s="3"/>
      <c r="J19" s="3"/>
      <c r="K19" s="3"/>
      <c r="L19" s="3"/>
      <c r="M19" s="3"/>
    </row>
    <row r="20" spans="1:13">
      <c r="A20" s="3"/>
      <c r="B20"/>
      <c r="F20" s="3"/>
      <c r="H20" s="7"/>
      <c r="I20" s="3"/>
      <c r="J20" s="3"/>
      <c r="K20" s="3"/>
      <c r="L20" s="3"/>
      <c r="M20" s="3"/>
    </row>
    <row r="21" spans="1:13">
      <c r="A21" s="3"/>
      <c r="B21"/>
      <c r="F21" s="3"/>
      <c r="H21" s="7"/>
      <c r="I21" s="3"/>
      <c r="J21" s="3"/>
      <c r="K21" s="3"/>
      <c r="L21" s="3"/>
      <c r="M21" s="3"/>
    </row>
    <row r="22" spans="1:13">
      <c r="A22" s="3"/>
      <c r="B22"/>
      <c r="F22" s="3"/>
      <c r="H22" s="7"/>
      <c r="I22" s="3"/>
      <c r="J22" s="3"/>
      <c r="K22" s="3"/>
      <c r="L22" s="3"/>
      <c r="M22" s="3"/>
    </row>
    <row r="23" spans="1:13">
      <c r="A23" s="3"/>
      <c r="B23"/>
      <c r="F23" s="3"/>
      <c r="H23" s="7"/>
      <c r="I23" s="3"/>
      <c r="J23" s="3"/>
      <c r="K23" s="3"/>
      <c r="L23" s="3"/>
      <c r="M23" s="3"/>
    </row>
    <row r="24" spans="1:13">
      <c r="A24" s="3"/>
      <c r="B24"/>
      <c r="F24" s="3"/>
      <c r="H24" s="7"/>
      <c r="I24" s="3"/>
      <c r="J24" s="3"/>
      <c r="K24" s="3"/>
      <c r="L24" s="3"/>
      <c r="M24" s="3"/>
    </row>
    <row r="25" spans="1:13">
      <c r="A25" s="3"/>
      <c r="B25"/>
      <c r="F25" s="3"/>
      <c r="H25" s="7"/>
      <c r="I25" s="3"/>
      <c r="J25" s="3"/>
      <c r="K25" s="3"/>
      <c r="L25" s="3"/>
      <c r="M25" s="3"/>
    </row>
    <row r="26" spans="1:13">
      <c r="A26" s="3"/>
      <c r="B26"/>
      <c r="F26" s="3"/>
      <c r="H26" s="7"/>
      <c r="I26" s="3"/>
      <c r="J26" s="3"/>
      <c r="K26" s="3"/>
      <c r="L26" s="3"/>
      <c r="M26" s="3"/>
    </row>
    <row r="27" spans="1:13">
      <c r="A27" s="3"/>
      <c r="B27"/>
      <c r="F27" s="3"/>
      <c r="H27" s="7"/>
      <c r="I27" s="3"/>
      <c r="J27" s="3"/>
      <c r="K27" s="3"/>
      <c r="L27" s="3"/>
      <c r="M27" s="3"/>
    </row>
    <row r="28" spans="1:13">
      <c r="A28" s="3"/>
      <c r="B28"/>
      <c r="F28" s="3"/>
      <c r="H28" s="7"/>
      <c r="I28" s="3"/>
      <c r="J28" s="3"/>
      <c r="K28" s="3"/>
      <c r="L28" s="3"/>
      <c r="M28" s="3"/>
    </row>
    <row r="29" spans="1:13">
      <c r="A29" s="3"/>
      <c r="B29"/>
      <c r="F29" s="3"/>
      <c r="H29" s="7"/>
      <c r="I29" s="3"/>
      <c r="J29" s="3"/>
      <c r="K29" s="3"/>
      <c r="L29" s="3"/>
      <c r="M29" s="3"/>
    </row>
    <row r="30" spans="1:13">
      <c r="A30" s="3"/>
      <c r="B30"/>
      <c r="F30" s="3"/>
      <c r="H30" s="7"/>
      <c r="I30" s="3"/>
      <c r="J30" s="3"/>
      <c r="K30" s="3"/>
      <c r="L30" s="3"/>
      <c r="M30" s="3"/>
    </row>
    <row r="31" spans="1:13">
      <c r="A31" s="3"/>
      <c r="B31"/>
      <c r="F31" s="3"/>
      <c r="H31" s="7"/>
      <c r="I31" s="3"/>
      <c r="J31" s="3"/>
      <c r="K31" s="3"/>
      <c r="L31" s="3"/>
      <c r="M31" s="3"/>
    </row>
    <row r="32" spans="1:13">
      <c r="A32" s="3"/>
      <c r="B32"/>
      <c r="F32" s="3"/>
      <c r="H32" s="7"/>
      <c r="I32" s="3"/>
      <c r="J32" s="3"/>
      <c r="K32" s="3"/>
      <c r="L32" s="3"/>
      <c r="M32" s="3"/>
    </row>
    <row r="33" spans="1:13">
      <c r="A33" s="3"/>
      <c r="B33"/>
      <c r="F33" s="3"/>
      <c r="H33" s="7"/>
      <c r="I33" s="3"/>
      <c r="J33" s="3"/>
      <c r="K33" s="3"/>
      <c r="L33" s="3"/>
      <c r="M33" s="3"/>
    </row>
    <row r="34" spans="1:13">
      <c r="A34" s="3"/>
      <c r="B34"/>
      <c r="F34" s="3"/>
      <c r="H34" s="7"/>
      <c r="I34" s="3"/>
      <c r="J34" s="3"/>
      <c r="K34" s="3"/>
      <c r="L34" s="3"/>
      <c r="M34" s="3"/>
    </row>
    <row r="35" spans="1:13">
      <c r="A35" s="3"/>
      <c r="B35"/>
      <c r="F35" s="3"/>
      <c r="H35" s="7"/>
      <c r="I35" s="3"/>
      <c r="J35" s="3"/>
      <c r="K35" s="3"/>
      <c r="L35" s="3"/>
      <c r="M35" s="3"/>
    </row>
    <row r="36" spans="1:13">
      <c r="A36" s="3"/>
      <c r="B36"/>
      <c r="F36" s="3"/>
      <c r="H36" s="7"/>
      <c r="I36" s="3"/>
      <c r="J36" s="3"/>
      <c r="K36" s="3"/>
      <c r="L36" s="3"/>
      <c r="M36" s="3"/>
    </row>
    <row r="37" spans="1:13">
      <c r="A37" s="3"/>
      <c r="B37"/>
      <c r="F37" s="3"/>
      <c r="H37" s="7"/>
      <c r="I37" s="3"/>
      <c r="J37" s="3"/>
      <c r="K37" s="3"/>
      <c r="L37" s="3"/>
      <c r="M37" s="3"/>
    </row>
    <row r="38" spans="1:13">
      <c r="A38" s="3"/>
      <c r="B38"/>
      <c r="F38" s="3"/>
      <c r="H38" s="7"/>
      <c r="I38" s="3"/>
      <c r="J38" s="3"/>
      <c r="K38" s="3"/>
      <c r="L38" s="3"/>
      <c r="M38" s="3"/>
    </row>
    <row r="39" spans="1:13">
      <c r="A39" s="3"/>
      <c r="B39"/>
      <c r="F39" s="3"/>
      <c r="H39" s="7"/>
      <c r="I39" s="3"/>
      <c r="J39" s="3"/>
      <c r="K39" s="3"/>
      <c r="L39" s="3"/>
      <c r="M39" s="3"/>
    </row>
    <row r="40" spans="1:13">
      <c r="A40" s="3"/>
      <c r="B40"/>
      <c r="F40" s="3"/>
      <c r="H40" s="7"/>
      <c r="I40" s="3"/>
      <c r="J40" s="3"/>
      <c r="K40" s="3"/>
      <c r="L40" s="3"/>
      <c r="M40" s="3"/>
    </row>
    <row r="41" spans="1:13">
      <c r="A41" s="3"/>
      <c r="B41"/>
      <c r="F41" s="3"/>
      <c r="H41" s="7"/>
      <c r="I41" s="3"/>
      <c r="J41" s="3"/>
      <c r="K41" s="3"/>
      <c r="L41" s="3"/>
      <c r="M41" s="3"/>
    </row>
    <row r="42" spans="1:13">
      <c r="A42" s="3"/>
      <c r="B42"/>
      <c r="F42" s="3"/>
      <c r="H42" s="7"/>
      <c r="I42" s="3"/>
      <c r="J42" s="3"/>
      <c r="K42" s="3"/>
      <c r="L42" s="3"/>
      <c r="M42" s="3"/>
    </row>
    <row r="43" spans="1:13">
      <c r="A43" s="3"/>
      <c r="B43"/>
      <c r="F43" s="3"/>
      <c r="H43" s="7"/>
      <c r="I43" s="3"/>
      <c r="J43" s="3"/>
      <c r="K43" s="3"/>
      <c r="L43" s="3"/>
      <c r="M43" s="3"/>
    </row>
    <row r="44" spans="1:13">
      <c r="A44" s="3"/>
      <c r="B44"/>
      <c r="F44" s="3"/>
      <c r="H44" s="7"/>
      <c r="I44" s="3"/>
      <c r="J44" s="3"/>
      <c r="K44" s="3"/>
      <c r="L44" s="3"/>
      <c r="M44" s="3"/>
    </row>
    <row r="45" spans="1:13">
      <c r="A45" s="3"/>
      <c r="B45"/>
      <c r="F45" s="3"/>
      <c r="H45" s="7"/>
      <c r="I45" s="3"/>
      <c r="J45" s="3"/>
      <c r="K45" s="3"/>
      <c r="L45" s="3"/>
      <c r="M45" s="3"/>
    </row>
    <row r="46" spans="1:13">
      <c r="A46" s="3"/>
      <c r="B46"/>
      <c r="F46" s="3"/>
      <c r="H46" s="7"/>
      <c r="I46" s="3"/>
      <c r="J46" s="3"/>
      <c r="K46" s="3"/>
      <c r="L46" s="3"/>
      <c r="M46" s="3"/>
    </row>
    <row r="47" spans="1:13">
      <c r="A47" s="3"/>
      <c r="B47"/>
      <c r="F47" s="3"/>
      <c r="H47" s="7"/>
      <c r="I47" s="3"/>
      <c r="J47" s="3"/>
      <c r="K47" s="3"/>
      <c r="L47" s="3"/>
      <c r="M47" s="3"/>
    </row>
    <row r="48" spans="1:13">
      <c r="A48" s="3"/>
      <c r="B48"/>
      <c r="F48" s="3"/>
      <c r="H48" s="7"/>
      <c r="I48" s="3"/>
      <c r="J48" s="3"/>
      <c r="K48" s="3"/>
      <c r="L48" s="3"/>
      <c r="M48" s="3"/>
    </row>
    <row r="49" spans="1:13">
      <c r="A49" s="3"/>
      <c r="B49"/>
      <c r="F49" s="3"/>
      <c r="H49" s="7"/>
      <c r="I49" s="3"/>
      <c r="J49" s="3"/>
      <c r="K49" s="3"/>
      <c r="L49" s="3"/>
      <c r="M49" s="3"/>
    </row>
    <row r="50" spans="1:13">
      <c r="A50" s="3"/>
      <c r="B50"/>
      <c r="F50" s="3"/>
      <c r="H50" s="7"/>
      <c r="I50" s="3"/>
      <c r="J50" s="3"/>
      <c r="K50" s="3"/>
      <c r="L50" s="3"/>
      <c r="M50" s="3"/>
    </row>
    <row r="51" spans="1:13">
      <c r="A51" s="3"/>
      <c r="B51"/>
      <c r="F51" s="3"/>
      <c r="H51" s="7"/>
      <c r="I51" s="3"/>
      <c r="J51" s="3"/>
      <c r="K51" s="3"/>
      <c r="L51" s="3"/>
      <c r="M51" s="3"/>
    </row>
    <row r="52" spans="1:13">
      <c r="A52" s="3"/>
      <c r="B52"/>
      <c r="F52" s="3"/>
      <c r="H52" s="7"/>
      <c r="I52" s="3"/>
      <c r="J52" s="3"/>
      <c r="K52" s="3"/>
      <c r="L52" s="3"/>
      <c r="M52" s="3"/>
    </row>
    <row r="53" spans="1:13">
      <c r="A53" s="3"/>
      <c r="B53"/>
      <c r="F53" s="3"/>
      <c r="H53" s="7"/>
      <c r="I53" s="3"/>
      <c r="J53" s="3"/>
      <c r="K53" s="3"/>
      <c r="L53" s="3"/>
      <c r="M5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שבועות</vt:lpstr>
      <vt:lpstr>ניתוח סטטסטי</vt:lpstr>
      <vt:lpstr>חודשים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נדב פיירמן שטרן</dc:creator>
  <cp:lastModifiedBy>נדב פיירמן שטרן</cp:lastModifiedBy>
  <dcterms:created xsi:type="dcterms:W3CDTF">2025-07-04T17:09:25Z</dcterms:created>
  <dcterms:modified xsi:type="dcterms:W3CDTF">2025-07-08T22:14:41Z</dcterms:modified>
</cp:coreProperties>
</file>